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Ai tool\"/>
    </mc:Choice>
  </mc:AlternateContent>
  <xr:revisionPtr revIDLastSave="0" documentId="13_ncr:1_{39D03D6D-784B-4294-B1A3-611DF88769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alculation &amp; Sizing" sheetId="13" r:id="rId1"/>
    <sheet name="Pricing Sheet" sheetId="2" r:id="rId2"/>
    <sheet name="ATG" sheetId="16" r:id="rId3"/>
    <sheet name="Electrical" sheetId="15" r:id="rId4"/>
    <sheet name="Report" sheetId="4" r:id="rId5"/>
    <sheet name="Price List" sheetId="1" r:id="rId6"/>
    <sheet name="Data" sheetId="3" r:id="rId7"/>
  </sheets>
  <definedNames>
    <definedName name="\__">#REF!</definedName>
    <definedName name="\0">#REF!</definedName>
    <definedName name="\122" hidden="1">#REF!</definedName>
    <definedName name="\123" hidden="1">#REF!</definedName>
    <definedName name="\1234" hidden="1">#REF!</definedName>
    <definedName name="\12345" hidden="1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__">#REF!</definedName>
    <definedName name="____________ccr1" hidden="1">{#N/A,#N/A,TRUE,"Cover";#N/A,#N/A,TRUE,"Conts";#N/A,#N/A,TRUE,"VOS";#N/A,#N/A,TRUE,"Warrington";#N/A,#N/A,TRUE,"Widnes"}</definedName>
    <definedName name="___________ccr2" hidden="1">{#N/A,#N/A,TRUE,"Cover";#N/A,#N/A,TRUE,"Conts";#N/A,#N/A,TRUE,"VOS";#N/A,#N/A,TRUE,"Warrington";#N/A,#N/A,TRUE,"Widnes"}</definedName>
    <definedName name="________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_____ccr1" hidden="1">{#N/A,#N/A,TRUE,"Cover";#N/A,#N/A,TRUE,"Conts";#N/A,#N/A,TRUE,"VOS";#N/A,#N/A,TRUE,"Warrington";#N/A,#N/A,TRUE,"Widnes"}</definedName>
    <definedName name="_________z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____ADD2">#REF!</definedName>
    <definedName name="________ccr1" hidden="1">{#N/A,#N/A,TRUE,"Cover";#N/A,#N/A,TRUE,"Conts";#N/A,#N/A,TRUE,"VOS";#N/A,#N/A,TRUE,"Warrington";#N/A,#N/A,TRUE,"Widnes"}</definedName>
    <definedName name="________ccr2" hidden="1">{#N/A,#N/A,TRUE,"Cover";#N/A,#N/A,TRUE,"Conts";#N/A,#N/A,TRUE,"VOS";#N/A,#N/A,TRUE,"Warrington";#N/A,#N/A,TRUE,"Widnes"}</definedName>
    <definedName name="______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___ADD2">#REF!</definedName>
    <definedName name="_______ccr1" hidden="1">{#N/A,#N/A,TRUE,"Cover";#N/A,#N/A,TRUE,"Conts";#N/A,#N/A,TRUE,"VOS";#N/A,#N/A,TRUE,"Warrington";#N/A,#N/A,TRUE,"Widnes"}</definedName>
    <definedName name="_______ccr2" hidden="1">{#N/A,#N/A,TRUE,"Cover";#N/A,#N/A,TRUE,"Conts";#N/A,#N/A,TRUE,"VOS";#N/A,#N/A,TRUE,"Warrington";#N/A,#N/A,TRUE,"Widnes"}</definedName>
    <definedName name="_______dec05" hidden="1">{"'Sheet1'!$A$4386:$N$4591"}</definedName>
    <definedName name="_______No1">#REF!</definedName>
    <definedName name="_______No2">#REF!</definedName>
    <definedName name="_______No3">#REF!</definedName>
    <definedName name="_______PR1">#N/A</definedName>
    <definedName name="_______z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__ADD2">#REF!</definedName>
    <definedName name="______ccr1" hidden="1">{#N/A,#N/A,TRUE,"Cover";#N/A,#N/A,TRUE,"Conts";#N/A,#N/A,TRUE,"VOS";#N/A,#N/A,TRUE,"Warrington";#N/A,#N/A,TRUE,"Widnes"}</definedName>
    <definedName name="______dec05" hidden="1">{"'Sheet1'!$A$4386:$N$4591"}</definedName>
    <definedName name="______dep2">#REF!</definedName>
    <definedName name="______dep3">#REF!</definedName>
    <definedName name="______est1">#REF!</definedName>
    <definedName name="______ext2">#REF!</definedName>
    <definedName name="______ext3">#REF!</definedName>
    <definedName name="____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__len2">#REF!</definedName>
    <definedName name="______len3">#REF!</definedName>
    <definedName name="______No1">#REF!</definedName>
    <definedName name="______No2">#REF!</definedName>
    <definedName name="______No3">#REF!</definedName>
    <definedName name="______pc1">#REF!</definedName>
    <definedName name="______pc2">#REF!</definedName>
    <definedName name="______pc3">#REF!</definedName>
    <definedName name="______PR1">#N/A</definedName>
    <definedName name="______tbc2">#REF!</definedName>
    <definedName name="______tbc3">#REF!</definedName>
    <definedName name="______wid2">#REF!</definedName>
    <definedName name="______wid3">#REF!</definedName>
    <definedName name="_____ADD2">#REF!</definedName>
    <definedName name="_____ccr1" hidden="1">{#N/A,#N/A,TRUE,"Cover";#N/A,#N/A,TRUE,"Conts";#N/A,#N/A,TRUE,"VOS";#N/A,#N/A,TRUE,"Warrington";#N/A,#N/A,TRUE,"Widnes"}</definedName>
    <definedName name="_____ccr2" hidden="1">{#N/A,#N/A,TRUE,"Cover";#N/A,#N/A,TRUE,"Conts";#N/A,#N/A,TRUE,"VOS";#N/A,#N/A,TRUE,"Warrington";#N/A,#N/A,TRUE,"Widnes"}</definedName>
    <definedName name="_____dec05" hidden="1">{"'Sheet1'!$A$4386:$N$4591"}</definedName>
    <definedName name="_____dep2">#REF!</definedName>
    <definedName name="_____dep3">#REF!</definedName>
    <definedName name="_____est1">#REF!</definedName>
    <definedName name="_____ext2">#REF!</definedName>
    <definedName name="_____ext3">#REF!</definedName>
    <definedName name="_____KI9">#REF!</definedName>
    <definedName name="_____len2">#REF!</definedName>
    <definedName name="_____len3">#REF!</definedName>
    <definedName name="_____No1">#REF!</definedName>
    <definedName name="_____No2">#REF!</definedName>
    <definedName name="_____No3">#REF!</definedName>
    <definedName name="_____pc1">#REF!</definedName>
    <definedName name="_____pc2">#REF!</definedName>
    <definedName name="_____pc3">#REF!</definedName>
    <definedName name="_____PO7">#REF!</definedName>
    <definedName name="_____PO8">#REF!</definedName>
    <definedName name="_____PO9">#REF!</definedName>
    <definedName name="_____POP3">#REF!</definedName>
    <definedName name="_____PR1">#N/A</definedName>
    <definedName name="_____sch2">#REF!</definedName>
    <definedName name="_____tbc2">#REF!</definedName>
    <definedName name="_____tbc3">#REF!</definedName>
    <definedName name="_____wid2">#REF!</definedName>
    <definedName name="_____wid3">#REF!</definedName>
    <definedName name="_____z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ADD2">#REF!</definedName>
    <definedName name="____ccr2" hidden="1">{#N/A,#N/A,TRUE,"Cover";#N/A,#N/A,TRUE,"Conts";#N/A,#N/A,TRUE,"VOS";#N/A,#N/A,TRUE,"Warrington";#N/A,#N/A,TRUE,"Widnes"}</definedName>
    <definedName name="____dec05" hidden="1">{"'Sheet1'!$A$4386:$N$4591"}</definedName>
    <definedName name="____dep2">#REF!</definedName>
    <definedName name="____dep3">#REF!</definedName>
    <definedName name="____est1">#REF!</definedName>
    <definedName name="____ext2">#REF!</definedName>
    <definedName name="____ext3">#REF!</definedName>
    <definedName name="__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__KI9">#REF!</definedName>
    <definedName name="____len2">#REF!</definedName>
    <definedName name="____len3">#REF!</definedName>
    <definedName name="____No1">#REF!</definedName>
    <definedName name="____No2">#REF!</definedName>
    <definedName name="____No3">#REF!</definedName>
    <definedName name="____ob1">#REF!</definedName>
    <definedName name="____pc1">#REF!</definedName>
    <definedName name="____pc2">#REF!</definedName>
    <definedName name="____pc3">#REF!</definedName>
    <definedName name="____ph1">#REF!</definedName>
    <definedName name="____PO7">#REF!</definedName>
    <definedName name="____PO8">#REF!</definedName>
    <definedName name="____PO9">#REF!</definedName>
    <definedName name="____POP3">#REF!</definedName>
    <definedName name="____PR1">#N/A</definedName>
    <definedName name="____sch2">#REF!</definedName>
    <definedName name="____tbc2">#REF!</definedName>
    <definedName name="____tbc3">#REF!</definedName>
    <definedName name="____wid2">#REF!</definedName>
    <definedName name="____wid3">#REF!</definedName>
    <definedName name="__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DD2">#REF!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cr1" hidden="1">{#N/A,#N/A,TRUE,"Cover";#N/A,#N/A,TRUE,"Conts";#N/A,#N/A,TRUE,"VOS";#N/A,#N/A,TRUE,"Warrington";#N/A,#N/A,TRUE,"Widnes"}</definedName>
    <definedName name="___ccr2" hidden="1">{#N/A,#N/A,TRUE,"Cover";#N/A,#N/A,TRUE,"Conts";#N/A,#N/A,TRUE,"VOS";#N/A,#N/A,TRUE,"Warrington";#N/A,#N/A,TRUE,"Widnes"}</definedName>
    <definedName name="___dec05" hidden="1">{"'Sheet1'!$A$4386:$N$4591"}</definedName>
    <definedName name="___dep2">#REF!</definedName>
    <definedName name="___dep3">#REF!</definedName>
    <definedName name="___est1">#REF!</definedName>
    <definedName name="___ext2">#REF!</definedName>
    <definedName name="___ext3">#REF!</definedName>
    <definedName name="___KI9">#REF!</definedName>
    <definedName name="___len2">#REF!</definedName>
    <definedName name="___len3">#REF!</definedName>
    <definedName name="___No1">#REF!</definedName>
    <definedName name="___No2">#REF!</definedName>
    <definedName name="___No3">#REF!</definedName>
    <definedName name="___ob1">#REF!</definedName>
    <definedName name="___old3" hidden="1">{#N/A,#N/A,FALSE,"Summary";#N/A,#N/A,FALSE,"3TJ";#N/A,#N/A,FALSE,"3TN";#N/A,#N/A,FALSE,"3TP";#N/A,#N/A,FALSE,"3SJ";#N/A,#N/A,FALSE,"3CJ";#N/A,#N/A,FALSE,"3CN";#N/A,#N/A,FALSE,"3CP";#N/A,#N/A,FALSE,"3A"}</definedName>
    <definedName name="___old5" hidden="1">{#N/A,#N/A,FALSE,"Summary";#N/A,#N/A,FALSE,"3TJ";#N/A,#N/A,FALSE,"3TN";#N/A,#N/A,FALSE,"3TP";#N/A,#N/A,FALSE,"3SJ";#N/A,#N/A,FALSE,"3CJ";#N/A,#N/A,FALSE,"3CN";#N/A,#N/A,FALSE,"3CP";#N/A,#N/A,FALSE,"3A"}</definedName>
    <definedName name="___old7" hidden="1">{#N/A,#N/A,FALSE,"Summary";#N/A,#N/A,FALSE,"3TJ";#N/A,#N/A,FALSE,"3TN";#N/A,#N/A,FALSE,"3TP";#N/A,#N/A,FALSE,"3SJ";#N/A,#N/A,FALSE,"3CJ";#N/A,#N/A,FALSE,"3CN";#N/A,#N/A,FALSE,"3CP";#N/A,#N/A,FALSE,"3A"}</definedName>
    <definedName name="___pc1">#REF!</definedName>
    <definedName name="___pc2">#REF!</definedName>
    <definedName name="___pc3">#REF!</definedName>
    <definedName name="___ph1">#REF!</definedName>
    <definedName name="___PO7">#REF!</definedName>
    <definedName name="___PO8">#REF!</definedName>
    <definedName name="___PO9">#REF!</definedName>
    <definedName name="___POP3">#REF!</definedName>
    <definedName name="___PR1">#N/A</definedName>
    <definedName name="___ROI1">#REF!</definedName>
    <definedName name="___roi2">#REF!</definedName>
    <definedName name="___sch2">#REF!</definedName>
    <definedName name="___tbc2">#REF!</definedName>
    <definedName name="___tbc3">#REF!</definedName>
    <definedName name="___wid2">#REF!</definedName>
    <definedName name="___wid3">#REF!</definedName>
    <definedName name="___z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123Graph_A" hidden="1">#REF!</definedName>
    <definedName name="__123Graph_ACHART1" hidden="1">#REF!</definedName>
    <definedName name="__123Graph_ACURRENT" hidden="1">#REF!</definedName>
    <definedName name="__123Graph_ACURVE" hidden="1">#REF!</definedName>
    <definedName name="__123Graph_APAY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123Graph_XCHART1" hidden="1">#REF!</definedName>
    <definedName name="__123Graph_XCURRENT" hidden="1">#REF!</definedName>
    <definedName name="__123Graph_XCURVE" hidden="1">#REF!</definedName>
    <definedName name="__123Graph_XPAY" hidden="1">#REF!</definedName>
    <definedName name="__ADD2">#REF!</definedName>
    <definedName name="__B19000">#REF!</definedName>
    <definedName name="__B19999">#REF!</definedName>
    <definedName name="__B20000">#REF!</definedName>
    <definedName name="__com2" hidden="1">{"'Break down'!$A$4"}</definedName>
    <definedName name="__d2" hidden="1">{#N/A,#N/A,FALSE,"mgtsum.XLS";#N/A,#N/A,FALSE,"CAPONE";#N/A,#N/A,FALSE,"CAPTWO";#N/A,#N/A,FALSE,"CAPTHREE"}</definedName>
    <definedName name="__dec05" hidden="1">{"'Sheet1'!$A$4386:$N$4591"}</definedName>
    <definedName name="__dep2">#REF!</definedName>
    <definedName name="__dep3">#REF!</definedName>
    <definedName name="__e20000">#REF!</definedName>
    <definedName name="__e99991">#REF!</definedName>
    <definedName name="__est1">#REF!</definedName>
    <definedName name="__ext2">#REF!</definedName>
    <definedName name="__ext3">#REF!</definedName>
    <definedName name="_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_Fill" hidden="1">#REF!</definedName>
    <definedName name="__IntlFixup" hidden="1">TRUE</definedName>
    <definedName name="__Key1" hidden="1">#REF!</definedName>
    <definedName name="__KI9">#REF!</definedName>
    <definedName name="__len2">#REF!</definedName>
    <definedName name="__len3">#REF!</definedName>
    <definedName name="__LEV1">#REF!</definedName>
    <definedName name="__LEV2">#REF!</definedName>
    <definedName name="__No1">#REF!</definedName>
    <definedName name="__No2">#REF!</definedName>
    <definedName name="__No3">#REF!</definedName>
    <definedName name="__ob1">#REF!</definedName>
    <definedName name="__pc1">#REF!</definedName>
    <definedName name="__pc2">#REF!</definedName>
    <definedName name="__pc3">#REF!</definedName>
    <definedName name="__ph1">#REF!</definedName>
    <definedName name="__PK2" hidden="1">{"'장비'!$A$3:$M$12"}</definedName>
    <definedName name="__PKG3" hidden="1">{"'장비'!$A$3:$M$12"}</definedName>
    <definedName name="__PO7">#REF!</definedName>
    <definedName name="__PO8">#REF!</definedName>
    <definedName name="__PO9">#REF!</definedName>
    <definedName name="__POP3">#REF!</definedName>
    <definedName name="__PR1">#N/A</definedName>
    <definedName name="__qqq222" hidden="1">{"'장비'!$A$3:$M$12"}</definedName>
    <definedName name="__res1">#REF!</definedName>
    <definedName name="__ROI1">#REF!</definedName>
    <definedName name="__roi2">#REF!</definedName>
    <definedName name="__sch2">#REF!</definedName>
    <definedName name="__sft2">#REF!</definedName>
    <definedName name="__Sort" hidden="1">#REF!</definedName>
    <definedName name="__tbc2">#REF!</definedName>
    <definedName name="__tbc3">#REF!</definedName>
    <definedName name="__wid2">#REF!</definedName>
    <definedName name="__wid3">#REF!</definedName>
    <definedName name="_1">#N/A</definedName>
    <definedName name="_1_._solv" hidden="1">#REF!,#REF!</definedName>
    <definedName name="_1___123Graph_ACHART_12" hidden="1">#REF!</definedName>
    <definedName name="_1__123Graph_ACHART_12" hidden="1">#REF!</definedName>
    <definedName name="_1__123Graph_ACHART_1A" hidden="1">#REF!</definedName>
    <definedName name="_10">#N/A</definedName>
    <definedName name="_10___123Graph_ACHART_18" hidden="1">#REF!</definedName>
    <definedName name="_10___123Graph_BCHART_16" hidden="1">#REF!</definedName>
    <definedName name="_10__123Graph_ACHART_18" hidden="1">#REF!</definedName>
    <definedName name="_10__123Graph_BCHART_16" hidden="1">#REF!</definedName>
    <definedName name="_101__123Graph_CCHART_15" hidden="1">#REF!</definedName>
    <definedName name="_103__123Graph_CCHART_16" hidden="1">#REF!</definedName>
    <definedName name="_105__123Graph_CCHART_17" hidden="1">#REF!</definedName>
    <definedName name="_107__123Graph_CCHART_2" hidden="1">#REF!</definedName>
    <definedName name="_109__123Graph_CCHART_22" hidden="1">#REF!</definedName>
    <definedName name="_11___123Graph_BCHART_17" hidden="1">#REF!</definedName>
    <definedName name="_11__123Graph_BCHART_17" hidden="1">#REF!</definedName>
    <definedName name="_111__123Graph_CSEG_PIE" hidden="1">#REF!</definedName>
    <definedName name="_113__123Graph_DCHART_15" hidden="1">#REF!</definedName>
    <definedName name="_115__123Graph_DCHART_16" hidden="1">#REF!</definedName>
    <definedName name="_117__123Graph_DCHART_17" hidden="1">#REF!</definedName>
    <definedName name="_119__123Graph_DCHART_2" hidden="1">#REF!</definedName>
    <definedName name="_12___123Graph_ACHART_19" hidden="1">#REF!</definedName>
    <definedName name="_12___123Graph_BCHART_22" hidden="1">#REF!</definedName>
    <definedName name="_12__123Graph_ACHART_19" hidden="1">#REF!</definedName>
    <definedName name="_12__123Graph_BCHART_22" hidden="1">#REF!</definedName>
    <definedName name="_121__123Graph_DCHART_22" hidden="1">#REF!</definedName>
    <definedName name="_123__123Graph_ECHART_15" hidden="1">#REF!</definedName>
    <definedName name="_125__123Graph_ECHART_16" hidden="1">#REF!</definedName>
    <definedName name="_127__123Graph_ECHART_17" hidden="1">#REF!</definedName>
    <definedName name="_129__123Graph_ECHART_2" hidden="1">#REF!</definedName>
    <definedName name="_13___123Graph_CCHART_15" hidden="1">#REF!</definedName>
    <definedName name="_13__123Graph_CCHART_15" hidden="1">#REF!</definedName>
    <definedName name="_131__123Graph_ECHART_22" hidden="1">#REF!</definedName>
    <definedName name="_133__123Graph_FCHART_15" hidden="1">#REF!</definedName>
    <definedName name="_135__123Graph_FCHART_16" hidden="1">#REF!</definedName>
    <definedName name="_137__123Graph_FCHART_17" hidden="1">#REF!</definedName>
    <definedName name="_139__123Graph_FCHART_2" hidden="1">#REF!</definedName>
    <definedName name="_14___123Graph_ACHART_21" hidden="1">#REF!</definedName>
    <definedName name="_14___123Graph_CCHART_16" hidden="1">#REF!</definedName>
    <definedName name="_14__123Graph_ACHART_21" hidden="1">#REF!</definedName>
    <definedName name="_14__123Graph_CCHART_16" hidden="1">#REF!</definedName>
    <definedName name="_141__123Graph_FCHART_22" hidden="1">#REF!</definedName>
    <definedName name="_143__123Graph_XCHART_15" hidden="1">#REF!</definedName>
    <definedName name="_145__123Graph_XCHART_16" hidden="1">#REF!</definedName>
    <definedName name="_147__123Graph_XCHART_17" hidden="1">#REF!</definedName>
    <definedName name="_149__123Graph_XCHART_18" hidden="1">#REF!</definedName>
    <definedName name="_15___123Graph_CCHART_17" hidden="1">#REF!</definedName>
    <definedName name="_15__123Graph_CCHART_17" hidden="1">#REF!</definedName>
    <definedName name="_151__123Graph_XCHART_19" hidden="1">#REF!</definedName>
    <definedName name="_152__123Graph_XCHART_2" hidden="1">#REF!</definedName>
    <definedName name="_154__123Graph_XCHART_22" hidden="1">#REF!</definedName>
    <definedName name="_156__123Graph_XSEG_PIE" hidden="1">#REF!</definedName>
    <definedName name="_16___123Graph_ASEG_PIE" hidden="1">#REF!</definedName>
    <definedName name="_16___123Graph_CCHART_22" hidden="1">#REF!</definedName>
    <definedName name="_16__123Graph_ASEG_PIE" hidden="1">#REF!</definedName>
    <definedName name="_16__123Graph_CCHART_22" hidden="1">#REF!</definedName>
    <definedName name="_17___123Graph_CSEG_PIE" hidden="1">#REF!</definedName>
    <definedName name="_17__123Graph_CSEG_PIE" hidden="1">#REF!</definedName>
    <definedName name="_18___123Graph_BCHART_15" hidden="1">#REF!</definedName>
    <definedName name="_18___123Graph_DCHART_15" hidden="1">#REF!</definedName>
    <definedName name="_18__123Graph_BCHART_15" hidden="1">#REF!</definedName>
    <definedName name="_18__123Graph_DCHART_15" hidden="1">#REF!</definedName>
    <definedName name="_19___123Graph_DCHART_16" hidden="1">#REF!</definedName>
    <definedName name="_19__123Graph_DCHART_16" hidden="1">#REF!</definedName>
    <definedName name="_1993">#REF!</definedName>
    <definedName name="_1994">#REF!</definedName>
    <definedName name="_1995">#REF!</definedName>
    <definedName name="_1995v1994">#REF!</definedName>
    <definedName name="_1996">#REF!</definedName>
    <definedName name="_1999">#REF!</definedName>
    <definedName name="_1OB">#REF!</definedName>
    <definedName name="_2">#N/A</definedName>
    <definedName name="_2___123Graph_ACHART_12" hidden="1">#REF!</definedName>
    <definedName name="_2___123Graph_ACHART_15" hidden="1">#REF!</definedName>
    <definedName name="_2__123Graph_ACHART_12" hidden="1">#REF!</definedName>
    <definedName name="_2__123Graph_ACHART_15" hidden="1">#REF!</definedName>
    <definedName name="_2__123Graph_AChart_1A" hidden="1">#REF!</definedName>
    <definedName name="_2__123Graph_XCHART_1A" hidden="1">#REF!</definedName>
    <definedName name="_20___123Graph_BCHART_16" hidden="1">#REF!</definedName>
    <definedName name="_20___123Graph_DCHART_17" hidden="1">#REF!</definedName>
    <definedName name="_20__123Graph_BCHART_16" hidden="1">#REF!</definedName>
    <definedName name="_20__123Graph_DCHART_17" hidden="1">#REF!</definedName>
    <definedName name="_21___123Graph_DCHART_22" hidden="1">#REF!</definedName>
    <definedName name="_21__123Graph_DCHART_22" hidden="1">#REF!</definedName>
    <definedName name="_22___123Graph_BCHART_17" hidden="1">#REF!</definedName>
    <definedName name="_22___123Graph_ECHART_15" hidden="1">#REF!</definedName>
    <definedName name="_22__123Graph_BCHART_17" hidden="1">#REF!</definedName>
    <definedName name="_22__123Graph_ECHART_15" hidden="1">#REF!</definedName>
    <definedName name="_23___123Graph_ECHART_16" hidden="1">#REF!</definedName>
    <definedName name="_23__123Graph_ECHART_16" hidden="1">#REF!</definedName>
    <definedName name="_24___123Graph_BCHART_22" hidden="1">#REF!</definedName>
    <definedName name="_24___123Graph_ECHART_17" hidden="1">#REF!</definedName>
    <definedName name="_24__123Graph_BCHART_22" hidden="1">#REF!</definedName>
    <definedName name="_24__123Graph_ECHART_17" hidden="1">#REF!</definedName>
    <definedName name="_25___123Graph_ECHART_22" hidden="1">#REF!</definedName>
    <definedName name="_25__123Graph_ECHART_22" hidden="1">#REF!</definedName>
    <definedName name="_26___123Graph_CCHART_15" hidden="1">#REF!</definedName>
    <definedName name="_26___123Graph_FCHART_15" hidden="1">#REF!</definedName>
    <definedName name="_26__123Graph_CCHART_15" hidden="1">#REF!</definedName>
    <definedName name="_26__123Graph_FCHART_15" hidden="1">#REF!</definedName>
    <definedName name="_27___123Graph_FCHART_16" hidden="1">#REF!</definedName>
    <definedName name="_27__123Graph_FCHART_16" hidden="1">#REF!</definedName>
    <definedName name="_28___123Graph_CCHART_16" hidden="1">#REF!</definedName>
    <definedName name="_28___123Graph_FCHART_17" hidden="1">#REF!</definedName>
    <definedName name="_28__123Graph_CCHART_16" hidden="1">#REF!</definedName>
    <definedName name="_28__123Graph_FCHART_17" hidden="1">#REF!</definedName>
    <definedName name="_29___123Graph_FCHART_22" hidden="1">#REF!</definedName>
    <definedName name="_29__123Graph_FCHART_22" hidden="1">#REF!</definedName>
    <definedName name="_3">#N/A</definedName>
    <definedName name="_3___123Graph_ACHART_16" hidden="1">#REF!</definedName>
    <definedName name="_3__123Graph_ACHART_16" hidden="1">#REF!</definedName>
    <definedName name="_3__123Graph_BChart_1A" hidden="1">#REF!</definedName>
    <definedName name="_30___123Graph_CCHART_17" hidden="1">#REF!</definedName>
    <definedName name="_30___123Graph_XCHART_15" hidden="1">#REF!</definedName>
    <definedName name="_30__123Graph_CCHART_17" hidden="1">#REF!</definedName>
    <definedName name="_30__123Graph_XCHART_15" hidden="1">#REF!</definedName>
    <definedName name="_31___123Graph_XCHART_16" hidden="1">#REF!</definedName>
    <definedName name="_31__123Graph_XCHART_16" hidden="1">#REF!</definedName>
    <definedName name="_32___123Graph_CCHART_22" hidden="1">#REF!</definedName>
    <definedName name="_32___123Graph_XCHART_17" hidden="1">#REF!</definedName>
    <definedName name="_32__123Graph_CCHART_22" hidden="1">#REF!</definedName>
    <definedName name="_32__123Graph_XCHART_17" hidden="1">#REF!</definedName>
    <definedName name="_33___123Graph_XCHART_18" hidden="1">#REF!</definedName>
    <definedName name="_33__123Graph_XCHART_18" hidden="1">#REF!</definedName>
    <definedName name="_34___123Graph_CSEG_PIE" hidden="1">#REF!</definedName>
    <definedName name="_34___123Graph_XCHART_19" hidden="1">#REF!</definedName>
    <definedName name="_34__123Graph_CSEG_PIE" hidden="1">#REF!</definedName>
    <definedName name="_34__123Graph_XCHART_19" hidden="1">#REF!</definedName>
    <definedName name="_35___123Graph_XCHART_22" hidden="1">#REF!</definedName>
    <definedName name="_35__123Graph_XCHART_22" hidden="1">#REF!</definedName>
    <definedName name="_36___123Graph_DCHART_15" hidden="1">#REF!</definedName>
    <definedName name="_36___123Graph_XSEG_PIE" hidden="1">#REF!</definedName>
    <definedName name="_36__123Graph_DCHART_15" hidden="1">#REF!</definedName>
    <definedName name="_36__123Graph_XSEG_PIE" hidden="1">#REF!</definedName>
    <definedName name="_37__123Graph_ACHART_12" hidden="1">#REF!</definedName>
    <definedName name="_38___123Graph_DCHART_16" hidden="1">#REF!</definedName>
    <definedName name="_38__123Graph_ACHART_15" hidden="1">#REF!</definedName>
    <definedName name="_38__123Graph_DCHART_16" hidden="1">#REF!</definedName>
    <definedName name="_39__123Graph_ACHART_16" hidden="1">#REF!</definedName>
    <definedName name="_4">#N/A</definedName>
    <definedName name="_4___123Graph_ACHART_15" hidden="1">#REF!</definedName>
    <definedName name="_4___123Graph_ACHART_17" hidden="1">#REF!</definedName>
    <definedName name="_4__123Graph_ACHART_15" hidden="1">#REF!</definedName>
    <definedName name="_4__123Graph_ACHART_17" hidden="1">#REF!</definedName>
    <definedName name="_4_0___.0solv" hidden="1">#REF!,#REF!</definedName>
    <definedName name="_40___123Graph_DCHART_17" hidden="1">#REF!</definedName>
    <definedName name="_40__123Graph_ACHART_17" hidden="1">#REF!</definedName>
    <definedName name="_40__123Graph_DCHART_17" hidden="1">#REF!</definedName>
    <definedName name="_41__123Graph_ACHART_18" hidden="1">#REF!</definedName>
    <definedName name="_42___123Graph_DCHART_22" hidden="1">#REF!</definedName>
    <definedName name="_42__123Graph_ACHART_19" hidden="1">#REF!</definedName>
    <definedName name="_42__123Graph_DCHART_22" hidden="1">#REF!</definedName>
    <definedName name="_43__123Graph_ACHART_2" hidden="1">#REF!</definedName>
    <definedName name="_44___123Graph_ECHART_15" hidden="1">#REF!</definedName>
    <definedName name="_44__123Graph_ACHART_21" hidden="1">#REF!</definedName>
    <definedName name="_44__123Graph_ECHART_15" hidden="1">#REF!</definedName>
    <definedName name="_45__123Graph_ASEG_PIE" hidden="1">#REF!</definedName>
    <definedName name="_46___123Graph_ECHART_16" hidden="1">#REF!</definedName>
    <definedName name="_46__123Graph_BCHART_15" hidden="1">#REF!</definedName>
    <definedName name="_46__123Graph_ECHART_16" hidden="1">#REF!</definedName>
    <definedName name="_47__123Graph_BCHART_16" hidden="1">#REF!</definedName>
    <definedName name="_48___123Graph_ECHART_17" hidden="1">#REF!</definedName>
    <definedName name="_48__123Graph_BCHART_17" hidden="1">#REF!</definedName>
    <definedName name="_48__123Graph_ECHART_17" hidden="1">#REF!</definedName>
    <definedName name="_49__123Graph_BCHART_2" hidden="1">#REF!</definedName>
    <definedName name="_5">#N/A</definedName>
    <definedName name="_5___123Graph_ACHART_18" hidden="1">#REF!</definedName>
    <definedName name="_5__123Graph_ACHART_18" hidden="1">#REF!</definedName>
    <definedName name="_50___123Graph_ECHART_22" hidden="1">#REF!</definedName>
    <definedName name="_50__123Graph_BCHART_22" hidden="1">#REF!</definedName>
    <definedName name="_50__123Graph_ECHART_22" hidden="1">#REF!</definedName>
    <definedName name="_51__123Graph_CCHART_15" hidden="1">#REF!</definedName>
    <definedName name="_52___123Graph_FCHART_15" hidden="1">#REF!</definedName>
    <definedName name="_52__123Graph_CCHART_16" hidden="1">#REF!</definedName>
    <definedName name="_52__123Graph_FCHART_15" hidden="1">#REF!</definedName>
    <definedName name="_53__123Graph_CCHART_17" hidden="1">#REF!</definedName>
    <definedName name="_54___123Graph_FCHART_16" hidden="1">#REF!</definedName>
    <definedName name="_54__123Graph_CCHART_2" hidden="1">#REF!</definedName>
    <definedName name="_54__123Graph_FCHART_16" hidden="1">#REF!</definedName>
    <definedName name="_55__123Graph_CCHART_22" hidden="1">#REF!</definedName>
    <definedName name="_56___123Graph_FCHART_17" hidden="1">#REF!</definedName>
    <definedName name="_56__123Graph_CSEG_PIE" hidden="1">#REF!</definedName>
    <definedName name="_56__123Graph_FCHART_17" hidden="1">#REF!</definedName>
    <definedName name="_57__123Graph_DCHART_15" hidden="1">#REF!</definedName>
    <definedName name="_58___123Graph_FCHART_22" hidden="1">#REF!</definedName>
    <definedName name="_58__123Graph_DCHART_16" hidden="1">#REF!</definedName>
    <definedName name="_58__123Graph_FCHART_22" hidden="1">#REF!</definedName>
    <definedName name="_59__123Graph_DCHART_17" hidden="1">#REF!</definedName>
    <definedName name="_6">#N/A</definedName>
    <definedName name="_6___123Graph_ACHART_16" hidden="1">#REF!</definedName>
    <definedName name="_6___123Graph_ACHART_19" hidden="1">#REF!</definedName>
    <definedName name="_6__123Graph_ACHART_16" hidden="1">#REF!</definedName>
    <definedName name="_6__123Graph_ACHART_19" hidden="1">#REF!</definedName>
    <definedName name="_60___123Graph_XCHART_15" hidden="1">#REF!</definedName>
    <definedName name="_60__123Graph_DCHART_2" hidden="1">#REF!</definedName>
    <definedName name="_60__123Graph_XCHART_15" hidden="1">#REF!</definedName>
    <definedName name="_61__123Graph_DCHART_22" hidden="1">#REF!</definedName>
    <definedName name="_62___123Graph_XCHART_16" hidden="1">#REF!</definedName>
    <definedName name="_62__123Graph_ECHART_15" hidden="1">#REF!</definedName>
    <definedName name="_62__123Graph_XCHART_16" hidden="1">#REF!</definedName>
    <definedName name="_63__123Graph_ECHART_16" hidden="1">#REF!</definedName>
    <definedName name="_64___123Graph_XCHART_17" hidden="1">#REF!</definedName>
    <definedName name="_64__123Graph_ECHART_17" hidden="1">#REF!</definedName>
    <definedName name="_64__123Graph_XCHART_17" hidden="1">#REF!</definedName>
    <definedName name="_65__123Graph_ECHART_2" hidden="1">#REF!</definedName>
    <definedName name="_66___123Graph_XCHART_18" hidden="1">#REF!</definedName>
    <definedName name="_66__123Graph_ECHART_22" hidden="1">#REF!</definedName>
    <definedName name="_66__123Graph_XCHART_18" hidden="1">#REF!</definedName>
    <definedName name="_67__123Graph_FCHART_15" hidden="1">#REF!</definedName>
    <definedName name="_68___123Graph_XCHART_19" hidden="1">#REF!</definedName>
    <definedName name="_68__123Graph_FCHART_16" hidden="1">#REF!</definedName>
    <definedName name="_68__123Graph_XCHART_19" hidden="1">#REF!</definedName>
    <definedName name="_69__123Graph_FCHART_17" hidden="1">#REF!</definedName>
    <definedName name="_7">#N/A</definedName>
    <definedName name="_7___123Graph_ACHART_21" hidden="1">#REF!</definedName>
    <definedName name="_7__123Graph_ACHART_21" hidden="1">#REF!</definedName>
    <definedName name="_70___123Graph_XCHART_22" hidden="1">#REF!</definedName>
    <definedName name="_70__123Graph_FCHART_2" hidden="1">#REF!</definedName>
    <definedName name="_70__123Graph_XCHART_22" hidden="1">#REF!</definedName>
    <definedName name="_71__123Graph_FCHART_22" hidden="1">#REF!</definedName>
    <definedName name="_72___123Graph_XSEG_PIE" hidden="1">#REF!</definedName>
    <definedName name="_72__123Graph_XCHART_15" hidden="1">#REF!</definedName>
    <definedName name="_72__123Graph_XSEG_PIE" hidden="1">#REF!</definedName>
    <definedName name="_73__123Graph_XCHART_16" hidden="1">#REF!</definedName>
    <definedName name="_74__123Graph_ACHART_12" hidden="1">#REF!</definedName>
    <definedName name="_74__123Graph_XCHART_17" hidden="1">#REF!</definedName>
    <definedName name="_75__123Graph_XCHART_18" hidden="1">#REF!</definedName>
    <definedName name="_76__123Graph_ACHART_15" hidden="1">#REF!</definedName>
    <definedName name="_76__123Graph_XCHART_19" hidden="1">#REF!</definedName>
    <definedName name="_77__123Graph_XCHART_2" hidden="1">#REF!</definedName>
    <definedName name="_78__123Graph_ACHART_16" hidden="1">#REF!</definedName>
    <definedName name="_78__123Graph_XCHART_22" hidden="1">#REF!</definedName>
    <definedName name="_79__123Graph_XSEG_PIE" hidden="1">#REF!</definedName>
    <definedName name="_8">#N/A</definedName>
    <definedName name="_8___123Graph_ACHART_17" hidden="1">#REF!</definedName>
    <definedName name="_8___123Graph_ASEG_PIE" hidden="1">#REF!</definedName>
    <definedName name="_8__123Graph_ACHART_17" hidden="1">#REF!</definedName>
    <definedName name="_8__123Graph_ASEG_PIE" hidden="1">#REF!</definedName>
    <definedName name="_80__123Graph_ACHART_17" hidden="1">#REF!</definedName>
    <definedName name="_82__123Graph_ACHART_18" hidden="1">#REF!</definedName>
    <definedName name="_84__123Graph_ACHART_19" hidden="1">#REF!</definedName>
    <definedName name="_85__123Graph_ACHART_2" hidden="1">#REF!</definedName>
    <definedName name="_87__123Graph_ACHART_21" hidden="1">#REF!</definedName>
    <definedName name="_89__123Graph_ASEG_PIE" hidden="1">#REF!</definedName>
    <definedName name="_9">#N/A</definedName>
    <definedName name="_9___123Graph_BCHART_15" hidden="1">#REF!</definedName>
    <definedName name="_9__123Graph_BCHART_15" hidden="1">#REF!</definedName>
    <definedName name="_91__123Graph_BCHART_15" hidden="1">#REF!</definedName>
    <definedName name="_93__123Graph_BCHART_16" hidden="1">#REF!</definedName>
    <definedName name="_95__123Graph_BCHART_17" hidden="1">#REF!</definedName>
    <definedName name="_97__123Graph_BCHART_2" hidden="1">#REF!</definedName>
    <definedName name="_99__123Graph_BCHART_22" hidden="1">#REF!</definedName>
    <definedName name="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DD2">#REF!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3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9000">#REF!</definedName>
    <definedName name="_B19999">#REF!</definedName>
    <definedName name="_B20000">#REF!</definedName>
    <definedName name="_boq1">#REF!</definedName>
    <definedName name="_Builtin13" hidden="1">#REF!</definedName>
    <definedName name="_C_?___?__">#REF!</definedName>
    <definedName name="_ccr1" hidden="1">{#N/A,#N/A,TRUE,"Cover";#N/A,#N/A,TRUE,"Conts";#N/A,#N/A,TRUE,"VOS";#N/A,#N/A,TRUE,"Warrington";#N/A,#N/A,TRUE,"Widnes"}</definedName>
    <definedName name="_ccr2" hidden="1">{#N/A,#N/A,TRUE,"Cover";#N/A,#N/A,TRUE,"Conts";#N/A,#N/A,TRUE,"VOS";#N/A,#N/A,TRUE,"Warrington";#N/A,#N/A,TRUE,"Widnes"}</definedName>
    <definedName name="_com2" hidden="1">{"'Break down'!$A$4"}</definedName>
    <definedName name="_d2" hidden="1">{#N/A,#N/A,FALSE,"mgtsum.XLS";#N/A,#N/A,FALSE,"CAPONE";#N/A,#N/A,FALSE,"CAPTWO";#N/A,#N/A,FALSE,"CAPTHREE"}</definedName>
    <definedName name="_dec05" hidden="1">{"'Sheet1'!$A$4386:$N$4591"}</definedName>
    <definedName name="_dep2">#REF!</definedName>
    <definedName name="_dep3">#REF!</definedName>
    <definedName name="_DWR001">#REF!</definedName>
    <definedName name="_DWR002">#REF!</definedName>
    <definedName name="_DWR003">#REF!</definedName>
    <definedName name="_DWR004">#REF!</definedName>
    <definedName name="_DWR005">#REF!</definedName>
    <definedName name="_e20000">#REF!</definedName>
    <definedName name="_e99991">#REF!</definedName>
    <definedName name="_est1">#REF!</definedName>
    <definedName name="_ext2">#REF!</definedName>
    <definedName name="_ext3">#REF!</definedName>
    <definedName name="_f" hidden="1">#REF!</definedName>
    <definedName name="_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Fill" hidden="1">#REF!</definedName>
    <definedName name="_Fill2" hidden="1">#REF!</definedName>
    <definedName name="_xlnm._FilterDatabase" localSheetId="0" hidden="1">'Calculation &amp; Sizing'!$A$4:$T$4</definedName>
    <definedName name="_xlnm._FilterDatabase" localSheetId="5" hidden="1">'Price List'!$A$1:$Z$342</definedName>
    <definedName name="_xlnm._FilterDatabase" localSheetId="1" hidden="1">'Pricing Sheet'!$M$1:$AV$1</definedName>
    <definedName name="_xlnm._FilterDatabase" hidden="1">#REF!</definedName>
    <definedName name="_FR_?__">#REF!</definedName>
    <definedName name="_FRT\_.WK3__">#REF!</definedName>
    <definedName name="_FS_R_">#REF!</definedName>
    <definedName name="_Key1" hidden="1">#REF!</definedName>
    <definedName name="_Key2" hidden="1">#REF!</definedName>
    <definedName name="_kfkf" hidden="1">#REF!</definedName>
    <definedName name="_KI9">#REF!</definedName>
    <definedName name="_len2">#REF!</definedName>
    <definedName name="_len3">#REF!</definedName>
    <definedName name="_LEV1">#REF!</definedName>
    <definedName name="_LEV2">#REF!</definedName>
    <definedName name="_M_?__">#REF!</definedName>
    <definedName name="_No" hidden="1">#REF!</definedName>
    <definedName name="_No1">#REF!</definedName>
    <definedName name="_No2">#REF!</definedName>
    <definedName name="_No3">#REF!</definedName>
    <definedName name="_ob1">#REF!</definedName>
    <definedName name="_old3" hidden="1">{#N/A,#N/A,FALSE,"Summary";#N/A,#N/A,FALSE,"3TJ";#N/A,#N/A,FALSE,"3TN";#N/A,#N/A,FALSE,"3TP";#N/A,#N/A,FALSE,"3SJ";#N/A,#N/A,FALSE,"3CJ";#N/A,#N/A,FALSE,"3CN";#N/A,#N/A,FALSE,"3CP";#N/A,#N/A,FALSE,"3A"}</definedName>
    <definedName name="_old5" hidden="1">{#N/A,#N/A,FALSE,"Summary";#N/A,#N/A,FALSE,"3TJ";#N/A,#N/A,FALSE,"3TN";#N/A,#N/A,FALSE,"3TP";#N/A,#N/A,FALSE,"3SJ";#N/A,#N/A,FALSE,"3CJ";#N/A,#N/A,FALSE,"3CN";#N/A,#N/A,FALSE,"3CP";#N/A,#N/A,FALSE,"3A"}</definedName>
    <definedName name="_old7" hidden="1">{#N/A,#N/A,FALSE,"Summary";#N/A,#N/A,FALSE,"3TJ";#N/A,#N/A,FALSE,"3TN";#N/A,#N/A,FALSE,"3TP";#N/A,#N/A,FALSE,"3SJ";#N/A,#N/A,FALSE,"3CJ";#N/A,#N/A,FALSE,"3CN";#N/A,#N/A,FALSE,"3CP";#N/A,#N/A,FALSE,"3A"}</definedName>
    <definedName name="_Order1" hidden="1">0</definedName>
    <definedName name="_Order2" hidden="1">0</definedName>
    <definedName name="_Parse_In" hidden="1">#REF!</definedName>
    <definedName name="_Parse_Out" hidden="1">#REF!</definedName>
    <definedName name="_pc1">#REF!</definedName>
    <definedName name="_pc2">#REF!</definedName>
    <definedName name="_pc3">#REF!</definedName>
    <definedName name="_ph1">#REF!</definedName>
    <definedName name="_PO7">#REF!</definedName>
    <definedName name="_PO8">#REF!</definedName>
    <definedName name="_PO9">#REF!</definedName>
    <definedName name="_POP3">#REF!</definedName>
    <definedName name="_PPR_?__">#REF!</definedName>
    <definedName name="_PR1">#N/A</definedName>
    <definedName name="_PR2">#REF!</definedName>
    <definedName name="_RE_?__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s1">#REF!</definedName>
    <definedName name="_RNLR_?__">#REF!</definedName>
    <definedName name="_ROI1">#REF!</definedName>
    <definedName name="_roi2">#REF!</definedName>
    <definedName name="_sch2">#REF!</definedName>
    <definedName name="_sft2">#REF!</definedName>
    <definedName name="_Sort" hidden="1">#REF!</definedName>
    <definedName name="_ST1">#REF!</definedName>
    <definedName name="_ST2">#REF!</definedName>
    <definedName name="_SUM__?_._?___">#REF!</definedName>
    <definedName name="_Table1_In1" hidden="1">#REF!</definedName>
    <definedName name="_Table2_In1" hidden="1">#REF!</definedName>
    <definedName name="_Table2_In2" hidden="1">#REF!</definedName>
    <definedName name="_Table2_Out" hidden="1">#REF!</definedName>
    <definedName name="_tbc2">#REF!</definedName>
    <definedName name="_tbc3">#REF!</definedName>
    <definedName name="_TDS2" hidden="1">{"'Sheet1'!$A$4386:$N$4591"}</definedName>
    <definedName name="_WCD_?__">#REF!</definedName>
    <definedName name="_WCH_?__">#REF!</definedName>
    <definedName name="_WCS_?__">#REF!</definedName>
    <definedName name="_WDC_?__">#REF!</definedName>
    <definedName name="_WDR_?__">#REF!</definedName>
    <definedName name="_WGF__?__">#REF!</definedName>
    <definedName name="_WGZY_">#REF!</definedName>
    <definedName name="_WIC_?__">#REF!</definedName>
    <definedName name="_wid2">#REF!</definedName>
    <definedName name="_wid3">#REF!</definedName>
    <definedName name="_WIR_?__">#REF!</definedName>
    <definedName name="_woogi" hidden="1">#REF!</definedName>
    <definedName name="_woogi2" hidden="1">#REF!</definedName>
    <definedName name="_woogi24" hidden="1">#REF!</definedName>
    <definedName name="_woogi3" hidden="1">#REF!</definedName>
    <definedName name="_WTB_">#REF!</definedName>
    <definedName name="_z1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_재ㅐ햐" hidden="1">#REF!</definedName>
    <definedName name="A">#REF!</definedName>
    <definedName name="A__Formwork">#REF!</definedName>
    <definedName name="A_START">#REF!</definedName>
    <definedName name="a0">#REF!</definedName>
    <definedName name="AA">#REF!</definedName>
    <definedName name="AAA">#REF!</definedName>
    <definedName name="aaaaaaaa" hidden="1">{#N/A,#N/A,TRUE,"Cover";#N/A,#N/A,TRUE,"Conts";#N/A,#N/A,TRUE,"VOS";#N/A,#N/A,TRUE,"Warrington";#N/A,#N/A,TRUE,"Widnes"}</definedName>
    <definedName name="aaaaaaaaaaaaaa" hidden="1">#REF!</definedName>
    <definedName name="aakdf" hidden="1">{#N/A,#N/A,FALSE,"mgtsum.XLS";#N/A,#N/A,FALSE,"CAPONE";#N/A,#N/A,FALSE,"CAPTWO";#N/A,#N/A,FALSE,"CAPTHREE"}</definedName>
    <definedName name="Aapp">#REF!</definedName>
    <definedName name="aasss">#REF!</definedName>
    <definedName name="AB">#REF!</definedName>
    <definedName name="abc">#REF!</definedName>
    <definedName name="abcdefg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btarea">#REF!</definedName>
    <definedName name="abtends">#REF!</definedName>
    <definedName name="abtpi">#REF!</definedName>
    <definedName name="abtpiledia">#REF!</definedName>
    <definedName name="abutpiles">#REF!</definedName>
    <definedName name="AC">#REF!</definedName>
    <definedName name="ACA">#REF!</definedName>
    <definedName name="Acap">#REF!</definedName>
    <definedName name="AccessDatabase" hidden="1">"C:\AA-MEDIUM PROJECTS\Khaleej Times - GO 14017\Submittals Status.mdb"</definedName>
    <definedName name="accrual_table">#REF!</definedName>
    <definedName name="accruals_table">#REF!</definedName>
    <definedName name="ACE">OFFSET(#REF!,1,0,COUNTA(#REF!)-(#REF!+2))</definedName>
    <definedName name="Acquisition">#REF!</definedName>
    <definedName name="ACT">#REF!</definedName>
    <definedName name="actcum">OFFSET(#REF!,0,0,COUNTA(#REF!),1)</definedName>
    <definedName name="actcum1">OFFSET(#REF!,0,0,COUNTA(#REF!),1)</definedName>
    <definedName name="actmonth">OFFSET(#REF!,0,0,COUNTA(#REF!),1)</definedName>
    <definedName name="actmonth1">OFFSET(#REF!,0,0,COUNTA(#REF!),1)</definedName>
    <definedName name="Actual_estimate">#REF!</definedName>
    <definedName name="AD" hidden="1">{"'Sheet1'!$A$4386:$N$4591"}</definedName>
    <definedName name="ADD">#REF!</definedName>
    <definedName name="addbeam">#REF!</definedName>
    <definedName name="adf" hidden="1">{"'Break down'!$A$4"}</definedName>
    <definedName name="adfg" hidden="1">{"'Break down'!$A$4"}</definedName>
    <definedName name="adh">#REF!</definedName>
    <definedName name="adia">#REF!</definedName>
    <definedName name="adjustment">#REF!</definedName>
    <definedName name="adjustment2">#REF!</definedName>
    <definedName name="adpvol">#REF!</definedName>
    <definedName name="ADSF">#REF!</definedName>
    <definedName name="adsff">#REF!</definedName>
    <definedName name="aegrgas" hidden="1">{#N/A,#N/A,TRUE,"Cover";#N/A,#N/A,TRUE,"Conts";#N/A,#N/A,TRUE,"VOS";#N/A,#N/A,TRUE,"Warrington";#N/A,#N/A,TRUE,"Widnes"}</definedName>
    <definedName name="AERAFG" hidden="1">{#N/A,#N/A,TRUE,"Cover";#N/A,#N/A,TRUE,"Conts";#N/A,#N/A,TRUE,"VOS";#N/A,#N/A,TRUE,"Warrington";#N/A,#N/A,TRUE,"Widnes"}</definedName>
    <definedName name="Aerospace">#REF!</definedName>
    <definedName name="aerte" hidden="1">{#N/A,#N/A,TRUE,"Cover";#N/A,#N/A,TRUE,"Conts";#N/A,#N/A,TRUE,"VOS";#N/A,#N/A,TRUE,"Warrington";#N/A,#N/A,TRUE,"Widnes"}</definedName>
    <definedName name="aertes" hidden="1">{#N/A,#N/A,TRUE,"Cover";#N/A,#N/A,TRUE,"Conts";#N/A,#N/A,TRUE,"VOS";#N/A,#N/A,TRUE,"Warrington";#N/A,#N/A,TRUE,"Widnes"}</definedName>
    <definedName name="aetertryh" hidden="1">{#N/A,#N/A,TRUE,"Cover";#N/A,#N/A,TRUE,"Conts";#N/A,#N/A,TRUE,"VOS";#N/A,#N/A,TRUE,"Warrington";#N/A,#N/A,TRUE,"Widnes"}</definedName>
    <definedName name="AF">#REF!</definedName>
    <definedName name="AFDDAF">#REF!</definedName>
    <definedName name="afdggf" hidden="1">{"'Break down'!$A$4"}</definedName>
    <definedName name="afds">#REF!</definedName>
    <definedName name="aff">#REF!</definedName>
    <definedName name="affkitchens">#REF!</definedName>
    <definedName name="afford1">#REF!</definedName>
    <definedName name="affordable">#REF!</definedName>
    <definedName name="Aflar">#REF!</definedName>
    <definedName name="AggregateBaseCourse">#REF!</definedName>
    <definedName name="AHU">#REF!</definedName>
    <definedName name="AHUs">#REF!</definedName>
    <definedName name="airpor">#REF!</definedName>
    <definedName name="Airport">#REF!</definedName>
    <definedName name="AirportStat">#REF!</definedName>
    <definedName name="Aldar_developments">#REF!</definedName>
    <definedName name="ALL">#REF!</definedName>
    <definedName name="allline">#REF!</definedName>
    <definedName name="alllines">#REF!</definedName>
    <definedName name="Allocation">#REF!</definedName>
    <definedName name="alter">#REF!</definedName>
    <definedName name="Aluminium">#REF!</definedName>
    <definedName name="aluminum">#REF!</definedName>
    <definedName name="AM">#REF!</definedName>
    <definedName name="AME">OFFSET(#REF!,1,0,COUNTA(#REF!)-(#REF!+2))</definedName>
    <definedName name="Amortization">#REF!</definedName>
    <definedName name="Amount">#REF!</definedName>
    <definedName name="Amt_prev_paid">#REF!</definedName>
    <definedName name="Amt_prev_paid_range">#REF!</definedName>
    <definedName name="AN">#REF!</definedName>
    <definedName name="Analysis">#REF!</definedName>
    <definedName name="AnalysisType">#REF!</definedName>
    <definedName name="anitha" hidden="1">{"'Break down'!$A$4"}</definedName>
    <definedName name="aocd">#REF!</definedName>
    <definedName name="applen">#REF!</definedName>
    <definedName name="Application">OFFSET(#REF!,1,0,COUNTA(#REF!)-(#REF!+3))</definedName>
    <definedName name="appraisal" hidden="1">{#N/A,#N/A,TRUE,"Cover";#N/A,#N/A,TRUE,"Conts";#N/A,#N/A,TRUE,"VOS";#N/A,#N/A,TRUE,"Warrington";#N/A,#N/A,TRUE,"Widnes"}</definedName>
    <definedName name="Approved">#REF!</definedName>
    <definedName name="AQE" hidden="1">{"'장비'!$A$3:$M$12"}</definedName>
    <definedName name="aquatic" hidden="1">{"'Break down'!$A$4"}</definedName>
    <definedName name="aquatic1" hidden="1">{"'Break down'!$A$4"}</definedName>
    <definedName name="ar">#REF!</definedName>
    <definedName name="Arcade_Redemption">#REF!</definedName>
    <definedName name="are">#REF!</definedName>
    <definedName name="AREA">#REF!</definedName>
    <definedName name="AREA2">#REF!</definedName>
    <definedName name="AREAS">#REF!</definedName>
    <definedName name="areas2">#REF!</definedName>
    <definedName name="areatop2">#REF!</definedName>
    <definedName name="as" hidden="1">{"'Break down'!$A$4"}</definedName>
    <definedName name="AS2DocOpenMode" hidden="1">"AS2DocumentEdit"</definedName>
    <definedName name="asd">#REF!</definedName>
    <definedName name="asdf" hidden="1">#REF!</definedName>
    <definedName name="asdfr" hidden="1">{#N/A,#N/A,FALSE,"Field Rates";#N/A,#N/A,FALSE,"Field Sum"}</definedName>
    <definedName name="ASFG" hidden="1">#REF!</definedName>
    <definedName name="ASG" hidden="1">#REF!</definedName>
    <definedName name="asgseg" hidden="1">{#N/A,#N/A,TRUE,"Cover";#N/A,#N/A,TRUE,"Conts";#N/A,#N/A,TRUE,"VOS";#N/A,#N/A,TRUE,"Warrington";#N/A,#N/A,TRUE,"Widnes"}</definedName>
    <definedName name="asil">#REF!</definedName>
    <definedName name="AsphalticBaseCourse">#REF!</definedName>
    <definedName name="asrasnrjutu" hidden="1">{#N/A,#N/A,TRUE,"Cover";#N/A,#N/A,TRUE,"Conts";#N/A,#N/A,TRUE,"VOS";#N/A,#N/A,TRUE,"Warrington";#N/A,#N/A,TRUE,"Widnes"}</definedName>
    <definedName name="assds">#REF!</definedName>
    <definedName name="assemble_progress">#REF!</definedName>
    <definedName name="assembly_details">#REF!</definedName>
    <definedName name="assembly_progress">#REF!</definedName>
    <definedName name="assembly_staffing">#REF!</definedName>
    <definedName name="Asset">#REF!</definedName>
    <definedName name="Asset_lookup">#REF!</definedName>
    <definedName name="Asset_type">#REF!</definedName>
    <definedName name="assetpmi">#REF!</definedName>
    <definedName name="At_risk">#REF!</definedName>
    <definedName name="atosf">43560</definedName>
    <definedName name="atrisk_total_net_rent_for_cashflow">#REF!</definedName>
    <definedName name="Automotive">#REF!</definedName>
    <definedName name="autonum">#REF!</definedName>
    <definedName name="AV">#REF!</definedName>
    <definedName name="avethk">#REF!</definedName>
    <definedName name="avewid">#REF!</definedName>
    <definedName name="aw">#REF!</definedName>
    <definedName name="awt" hidden="1">{#N/A,#N/A,TRUE,"Cover";#N/A,#N/A,TRUE,"Conts";#N/A,#N/A,TRUE,"VOS";#N/A,#N/A,TRUE,"Warrington";#N/A,#N/A,TRUE,"Widnes"}</definedName>
    <definedName name="awyawghh" hidden="1">{#N/A,#N/A,TRUE,"Cover";#N/A,#N/A,TRUE,"Conts";#N/A,#N/A,TRUE,"VOS";#N/A,#N/A,TRUE,"Warrington";#N/A,#N/A,TRUE,"Widnes"}</definedName>
    <definedName name="AX">#REF!</definedName>
    <definedName name="AZ">#REF!</definedName>
    <definedName name="B">#REF!</definedName>
    <definedName name="B_____CONCRETE_PRICING_TABLE">#REF!</definedName>
    <definedName name="b_rod">#REF!</definedName>
    <definedName name="bacc">#REF!</definedName>
    <definedName name="bagheri">#REF!</definedName>
    <definedName name="BALUST">#REF!</definedName>
    <definedName name="bande">#REF!</definedName>
    <definedName name="base" hidden="1">{"'Break down'!$A$4"}</definedName>
    <definedName name="BASE_Summary">#REF!</definedName>
    <definedName name="BASE_Summary1">#REF!</definedName>
    <definedName name="BASE_Summary2">#REF!</definedName>
    <definedName name="BaseD">#REF!</definedName>
    <definedName name="BaseDate">#REF!</definedName>
    <definedName name="BaseDay">#REF!</definedName>
    <definedName name="Baseline">#REF!</definedName>
    <definedName name="BaseM">#REF!</definedName>
    <definedName name="BaseMonth">#REF!</definedName>
    <definedName name="BaseYear">#REF!</definedName>
    <definedName name="basic">#REF!</definedName>
    <definedName name="BASIS">#REF!</definedName>
    <definedName name="BASIS1">#REF!</definedName>
    <definedName name="BAYS">#REF!</definedName>
    <definedName name="bb" hidden="1">{"'Break down'!$A$4"}</definedName>
    <definedName name="BC">#REF!</definedName>
    <definedName name="BCISUplift">#REF!</definedName>
    <definedName name="BCOL">#REF!</definedName>
    <definedName name="BD" hidden="1">#REF!</definedName>
    <definedName name="BE" hidden="1">#REF!</definedName>
    <definedName name="beams">#REF!</definedName>
    <definedName name="Beginning_Balance">#N/A</definedName>
    <definedName name="Bf">#REF!</definedName>
    <definedName name="BG" hidden="1">#REF!</definedName>
    <definedName name="bg_charge">#REF!</definedName>
    <definedName name="BH" hidden="1">#REF!</definedName>
    <definedName name="Bid_Curr">#REF!</definedName>
    <definedName name="Bidder">#REF!</definedName>
    <definedName name="Bill_Rec">#REF!</definedName>
    <definedName name="Bill_Refs">#REF!,#REF!</definedName>
    <definedName name="BILL11">#REF!</definedName>
    <definedName name="bill2">#REF!</definedName>
    <definedName name="BILL3">#REF!</definedName>
    <definedName name="BILL8">#REF!</definedName>
    <definedName name="billed_received">#REF!</definedName>
    <definedName name="billname2">#REF!</definedName>
    <definedName name="billname3">#REF!</definedName>
    <definedName name="Bitumen">#REF!</definedName>
    <definedName name="BJ" hidden="1">#REF!</definedName>
    <definedName name="blankline">#REF!</definedName>
    <definedName name="Bld_type">#REF!</definedName>
    <definedName name="Bldg_Infra">#REF!</definedName>
    <definedName name="blk">#REF!</definedName>
    <definedName name="BLOC">#N/A</definedName>
    <definedName name="BLOCK_WORK">#REF!</definedName>
    <definedName name="bo_num">#REF!</definedName>
    <definedName name="boop" hidden="1">{"'Break down'!$A$4"}</definedName>
    <definedName name="boqformat">#REF!</definedName>
    <definedName name="borabt">#REF!</definedName>
    <definedName name="borlen1">#REF!</definedName>
    <definedName name="borlen2">#REF!</definedName>
    <definedName name="borlen3">#REF!</definedName>
    <definedName name="Boxvol">#REF!</definedName>
    <definedName name="BQ">#REF!</definedName>
    <definedName name="Brand">Data!$P$92:$P$208</definedName>
    <definedName name="break" hidden="1">{#N/A,#N/A,TRUE,"Cover Memo";"Ride Estimate",#N/A,TRUE,"Change Summary";"Ride Estimate",#N/A,TRUE,"Estimate Summary";"Ride Estimate",#N/A,TRUE,"Dept. Summary";"Ride Estimate",#N/A,TRUE,"DOW Detail"}</definedName>
    <definedName name="Brgname">#REF!</definedName>
    <definedName name="BRICK">#REF!</definedName>
    <definedName name="Brname">#REF!</definedName>
    <definedName name="BROW">#REF!</definedName>
    <definedName name="bsss" hidden="1">{"'M'!$C$12:$D$12"}</definedName>
    <definedName name="BU_Name">#REF!</definedName>
    <definedName name="BU_Names">#REF!</definedName>
    <definedName name="BU_SU_range">#REF!</definedName>
    <definedName name="Budget">#N/A</definedName>
    <definedName name="Budget_Opex_3">#REF!</definedName>
    <definedName name="Budget_Projects_Range">#REF!</definedName>
    <definedName name="bulk_material_table">#REF!</definedName>
    <definedName name="BUs">#REF!</definedName>
    <definedName name="Button_118">"D4914__5_tsk_List"</definedName>
    <definedName name="Button_2">"Submittals_Status_Drawing__2__List"</definedName>
    <definedName name="C_">#REF!</definedName>
    <definedName name="C_____STEEL_REBAR">#REF!</definedName>
    <definedName name="CA">#REF!</definedName>
    <definedName name="Capex_comm_range">#REF!</definedName>
    <definedName name="Capex_Input">#REF!,#REF!,#REF!,#REF!,#REF!,#REF!,#REF!,#REF!,#REF!,#REF!,#REF!,#REF!</definedName>
    <definedName name="CapexIn1">#REF!</definedName>
    <definedName name="CapexIn10">#REF!</definedName>
    <definedName name="CapexIn11">#REF!</definedName>
    <definedName name="CapexIn12">#REF!</definedName>
    <definedName name="CapexIn2">#REF!</definedName>
    <definedName name="CapexIn3">#REF!</definedName>
    <definedName name="CapexIn4">#REF!</definedName>
    <definedName name="CapexIn5">#REF!</definedName>
    <definedName name="CapexIn6">#REF!</definedName>
    <definedName name="CapexIn7">#REF!</definedName>
    <definedName name="CapexIn8">#REF!</definedName>
    <definedName name="CapexIn9">#REF!</definedName>
    <definedName name="CapexInRepair">#REF!</definedName>
    <definedName name="car_park_cash_flow">#REF!</definedName>
    <definedName name="Carpark_extra">#REF!</definedName>
    <definedName name="Carpark_MSCP">#REF!</definedName>
    <definedName name="cash">#REF!</definedName>
    <definedName name="CASH_DATA">#REF!</definedName>
    <definedName name="cash_flow_data">#REF!</definedName>
    <definedName name="cash_position">#REF!</definedName>
    <definedName name="cashfl" hidden="1">{#N/A,#N/A,TRUE,"Cover";#N/A,#N/A,TRUE,"Conts";#N/A,#N/A,TRUE,"VOS";#N/A,#N/A,TRUE,"Warrington";#N/A,#N/A,TRUE,"Widnes"}</definedName>
    <definedName name="Casino">#REF!</definedName>
    <definedName name="Cat">#REF!</definedName>
    <definedName name="CATER">#REF!</definedName>
    <definedName name="CatEyes">#REF!</definedName>
    <definedName name="CBWorkbookPriority" hidden="1">-1411612577</definedName>
    <definedName name="CC">#REF!</definedName>
    <definedName name="CC_Commissions">#REF!</definedName>
    <definedName name="CCE">OFFSET(#REF!,1,0,COUNTA(#REF!)-(#REF!+2))</definedName>
    <definedName name="CCR" hidden="1">{#N/A,#N/A,TRUE,"Cover";#N/A,#N/A,TRUE,"Conts";#N/A,#N/A,TRUE,"VOS";#N/A,#N/A,TRUE,"Warrington";#N/A,#N/A,TRUE,"Widnes"}</definedName>
    <definedName name="CCS">#REF!</definedName>
    <definedName name="CD">#REF!</definedName>
    <definedName name="CD_AC">#REF!</definedName>
    <definedName name="CD_BREscore">#REF!</definedName>
    <definedName name="CD_Height">#REF!</definedName>
    <definedName name="CD_LEEDscore">#REF!</definedName>
    <definedName name="CD_Prefab">#REF!</definedName>
    <definedName name="CD_renewable">#REF!</definedName>
    <definedName name="CD_Susrating">#REF!</definedName>
    <definedName name="CEILING">#REF!</definedName>
    <definedName name="CELINGS">#REF!</definedName>
    <definedName name="cellper">#REF!</definedName>
    <definedName name="cem_bag">#REF!</definedName>
    <definedName name="Ceramic_FLooring">#REF!</definedName>
    <definedName name="Ceramic_Wall_Tiles">#REF!</definedName>
    <definedName name="Cert">OFFSET(#REF!,1,0,COUNTA(#REF!)-(#REF!+2))</definedName>
    <definedName name="CFA">#REF!</definedName>
    <definedName name="Ch">#REF!</definedName>
    <definedName name="change_Orders">#REF!</definedName>
    <definedName name="change_table">#REF!</definedName>
    <definedName name="chart">#REF!</definedName>
    <definedName name="chb_100">#REF!</definedName>
    <definedName name="chb_150">#REF!</definedName>
    <definedName name="Chiller">#REF!</definedName>
    <definedName name="chris" hidden="1">{#N/A,#N/A,TRUE,"Cover";#N/A,#N/A,TRUE,"Conts";#N/A,#N/A,TRUE,"VOS";#N/A,#N/A,TRUE,"Warrington";#N/A,#N/A,TRUE,"Widnes"}</definedName>
    <definedName name="CHW">#REF!</definedName>
    <definedName name="cig_vol_case">#REF!</definedName>
    <definedName name="circu1">#REF!</definedName>
    <definedName name="circu2">#REF!</definedName>
    <definedName name="Cl">#REF!</definedName>
    <definedName name="CLAD">#REF!</definedName>
    <definedName name="Classification">#REF!</definedName>
    <definedName name="Clean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clear">#REF!</definedName>
    <definedName name="ClearingAndGrubbing">#REF!</definedName>
    <definedName name="clength">#REF!</definedName>
    <definedName name="client">#REF!</definedName>
    <definedName name="Clt_score">#REF!</definedName>
    <definedName name="CLUB">#REF!</definedName>
    <definedName name="Cm">#REF!</definedName>
    <definedName name="CM_">#REF!</definedName>
    <definedName name="CM_ENG_ACT">#REF!</definedName>
    <definedName name="CM_ENG_FCST">#REF!</definedName>
    <definedName name="CM_ENG_PLAN">#REF!</definedName>
    <definedName name="CME">OFFSET(#REF!,1,0,COUNTA(#REF!)-(#REF!+2))</definedName>
    <definedName name="CMonths">OFFSET(#REF!,1,0,COUNTA(#REF!)-(#REF!+2))</definedName>
    <definedName name="co_table">#REF!</definedName>
    <definedName name="cocnlen1">#REF!</definedName>
    <definedName name="COGS_Photo">#REF!</definedName>
    <definedName name="COL_ENGR">#REF!</definedName>
    <definedName name="COLOG">#REF!</definedName>
    <definedName name="comm1">#REF!</definedName>
    <definedName name="commercial">#REF!</definedName>
    <definedName name="Comp">#REF!</definedName>
    <definedName name="Comp_occ">#REF!</definedName>
    <definedName name="Comp_Occ_Rate">#REF!</definedName>
    <definedName name="Comp1Seg1">"Check Box 1"</definedName>
    <definedName name="compiercircu">#REF!</definedName>
    <definedName name="compierstri">#REF!</definedName>
    <definedName name="compiersufare">#REF!</definedName>
    <definedName name="compiertopare">#REF!</definedName>
    <definedName name="compiervol">#REF!</definedName>
    <definedName name="completion_date">#REF!</definedName>
    <definedName name="Complex">#REF!</definedName>
    <definedName name="CompOcc">#REF!</definedName>
    <definedName name="CompOccRate">#REF!</definedName>
    <definedName name="CompRates">#REF!</definedName>
    <definedName name="CompSales">#REF!</definedName>
    <definedName name="CompValParam">#REF!</definedName>
    <definedName name="COMSPECIALS">#REF!</definedName>
    <definedName name="conc2">#REF!</definedName>
    <definedName name="CONCA">#REF!</definedName>
    <definedName name="concabt">#REF!</definedName>
    <definedName name="CONCB">#REF!</definedName>
    <definedName name="CONCC">#REF!</definedName>
    <definedName name="conclen3">#REF!</definedName>
    <definedName name="ConcreteClassA">#REF!</definedName>
    <definedName name="ConcreteClassB">#REF!</definedName>
    <definedName name="condenser">#REF!</definedName>
    <definedName name="CondenserWater">#REF!</definedName>
    <definedName name="ConEnd">#REF!</definedName>
    <definedName name="ConFlag">#REF!</definedName>
    <definedName name="ConStart">#REF!</definedName>
    <definedName name="construction">#REF!</definedName>
    <definedName name="CONT">#REF!</definedName>
    <definedName name="Contract_Form">#REF!</definedName>
    <definedName name="Contract_sum1">#REF!</definedName>
    <definedName name="contract_summary">#REF!</definedName>
    <definedName name="Contract_Type">#REF!</definedName>
    <definedName name="contrat">#REF!</definedName>
    <definedName name="convention">#N/A</definedName>
    <definedName name="Conveying">#REF!</definedName>
    <definedName name="ConveyingColl">#REF!</definedName>
    <definedName name="COPTotal">#REF!</definedName>
    <definedName name="copy_this">#REF!</definedName>
    <definedName name="corporate">#REF!</definedName>
    <definedName name="Corporate_Investments">#REF!</definedName>
    <definedName name="COST">#REF!</definedName>
    <definedName name="cost_detail">#REF!</definedName>
    <definedName name="cost_detail_small">#REF!</definedName>
    <definedName name="Cost_detail1">#REF!</definedName>
    <definedName name="Cost_Plan">#REF!</definedName>
    <definedName name="COST_RANGE">#REF!</definedName>
    <definedName name="Cost_stages">#REF!</definedName>
    <definedName name="cost_sum">#REF!</definedName>
    <definedName name="cost_sum_short">#REF!</definedName>
    <definedName name="Cost_sum1">#REF!</definedName>
    <definedName name="cost_summary_total_project">#REF!</definedName>
    <definedName name="COST1">#REF!</definedName>
    <definedName name="costimpact">#REF!</definedName>
    <definedName name="costimpactpmi">#REF!</definedName>
    <definedName name="COSTSUMMARY">#REF!</definedName>
    <definedName name="costval">#REF!</definedName>
    <definedName name="costval1">#REF!</definedName>
    <definedName name="Costval10">#REF!</definedName>
    <definedName name="Costval11">#REF!</definedName>
    <definedName name="costval2">#REF!</definedName>
    <definedName name="Costval3">#REF!</definedName>
    <definedName name="Costval4">#REF!</definedName>
    <definedName name="Costval5">#REF!</definedName>
    <definedName name="Costval6">#REF!</definedName>
    <definedName name="Costval7">#REF!</definedName>
    <definedName name="Costval8">#REF!</definedName>
    <definedName name="Costval9">#REF!</definedName>
    <definedName name="Countries">#REF!</definedName>
    <definedName name="Country">#REF!</definedName>
    <definedName name="CPANELS">#REF!</definedName>
    <definedName name="cpdpvol">#REF!</definedName>
    <definedName name="cphase">#REF!</definedName>
    <definedName name="cpierends">#REF!</definedName>
    <definedName name="Cranes">#REF!</definedName>
    <definedName name="Cranes02">#REF!</definedName>
    <definedName name="CREP">#REF!</definedName>
    <definedName name="CRIT_EXECUTION">#REF!</definedName>
    <definedName name="CRIT_OPPORTUNITY">#REF!</definedName>
    <definedName name="_xlnm.Criteria">#REF!</definedName>
    <definedName name="crsr" hidden="1">#REF!</definedName>
    <definedName name="crsr1" hidden="1">#REF!</definedName>
    <definedName name="crsr2" hidden="1">#REF!</definedName>
    <definedName name="crsr3" hidden="1">#REF!</definedName>
    <definedName name="Cst_score">#REF!</definedName>
    <definedName name="Cth">Data!$C$40:$C$45</definedName>
    <definedName name="CUBICLES">#REF!</definedName>
    <definedName name="CumulativeFinancialProgress">#REF!</definedName>
    <definedName name="CumulativePercentCompletion">#REF!</definedName>
    <definedName name="CURBS">#REF!</definedName>
    <definedName name="curr_range">#REF!</definedName>
    <definedName name="CURRENCY">#REF!</definedName>
    <definedName name="CurrentApp">#REF!</definedName>
    <definedName name="CurrentOther">#REF!</definedName>
    <definedName name="Customer_Settlement">#REF!</definedName>
    <definedName name="cut">#REF!</definedName>
    <definedName name="CWALLS">#REF!</definedName>
    <definedName name="D">Data!$C$22:$C$30</definedName>
    <definedName name="D_____MASONRY___PLASTER_WORKS">#REF!</definedName>
    <definedName name="D_AHD">#REF!</definedName>
    <definedName name="D_BHD">#REF!</definedName>
    <definedName name="D_CONSTR2">#REF!</definedName>
    <definedName name="D_DISC">#REF!</definedName>
    <definedName name="D_ENGR">#REF!</definedName>
    <definedName name="D_INCR">#REF!</definedName>
    <definedName name="d_jp" hidden="1">{"'Sheet1'!$A$4386:$N$4591"}</definedName>
    <definedName name="D_LABEL">#REF!</definedName>
    <definedName name="D_LM">#REF!</definedName>
    <definedName name="D_P1">#REF!</definedName>
    <definedName name="D_P2">#REF!</definedName>
    <definedName name="D_PERF">#REF!</definedName>
    <definedName name="D_PROGRESS">#REF!</definedName>
    <definedName name="D_TGO">#REF!</definedName>
    <definedName name="D_TIME">#REF!</definedName>
    <definedName name="D_TYPE1">#REF!</definedName>
    <definedName name="DAdsaD" hidden="1">#REF!</definedName>
    <definedName name="dafdf">#REF!</definedName>
    <definedName name="DALL">#REF!</definedName>
    <definedName name="DALLP">#REF!</definedName>
    <definedName name="dasd" hidden="1">{"'Bill No. 7'!$A$1:$G$32"}</definedName>
    <definedName name="DATA">#REF!</definedName>
    <definedName name="DATA_CONT">#REF!</definedName>
    <definedName name="DATA_ESC">#REF!</definedName>
    <definedName name="DATA_FEE">#REF!</definedName>
    <definedName name="DATA_SALES">#REF!</definedName>
    <definedName name="data_v">#REF!</definedName>
    <definedName name="data_variance">#REF!</definedName>
    <definedName name="_xlnm.Database">#REF!</definedName>
    <definedName name="DATABASE1">#REF!</definedName>
    <definedName name="dataww" hidden="1">#REF!</definedName>
    <definedName name="date">#REF!</definedName>
    <definedName name="Date_lookup">#REF!</definedName>
    <definedName name="Date1">#REF!</definedName>
    <definedName name="Day">#REF!</definedName>
    <definedName name="DAYS_NEXT_MONTH">#REF!</definedName>
    <definedName name="DCF">#REF!</definedName>
    <definedName name="DD">#REF!</definedName>
    <definedName name="dd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dd" hidden="1">{"'8'!$B$1:$I$46"}</definedName>
    <definedName name="DECS">#REF!</definedName>
    <definedName name="Deg_of_Inf">#REF!</definedName>
    <definedName name="demand">#REF!</definedName>
    <definedName name="DemandGrowth">#REF!</definedName>
    <definedName name="depart" hidden="1">{"'Sheet1'!$A$4386:$N$4591"}</definedName>
    <definedName name="Depth">#REF!</definedName>
    <definedName name="DESCRIP">#REF!</definedName>
    <definedName name="design">#REF!</definedName>
    <definedName name="designcenter">#REF!</definedName>
    <definedName name="DesignType">#REF!</definedName>
    <definedName name="DETAIL">#REF!</definedName>
    <definedName name="DETHEADER">#REF!</definedName>
    <definedName name="Developmentcost">#REF!</definedName>
    <definedName name="DevelopmentCosts">#REF!</definedName>
    <definedName name="Developproforma">#REF!</definedName>
    <definedName name="devman">#REF!</definedName>
    <definedName name="Dewatering_Shoring">#REF!</definedName>
    <definedName name="Df">#REF!</definedName>
    <definedName name="DFARES">#REF!</definedName>
    <definedName name="DFARES98">#REF!</definedName>
    <definedName name="dfd">#REF!</definedName>
    <definedName name="Dfdf">#REF!</definedName>
    <definedName name="dfdfdsf">#REF!,#REF!</definedName>
    <definedName name="dfdfs" hidden="1">{"'Sheet1'!$A$4386:$N$4591"}</definedName>
    <definedName name="DFDPROG">#REF!</definedName>
    <definedName name="DFDPROGHEADER">#REF!</definedName>
    <definedName name="DFDPROGTITLE">#REF!</definedName>
    <definedName name="DFDSCORE">#REF!</definedName>
    <definedName name="dfdsf">#REF!</definedName>
    <definedName name="dfdsfds">#REF!</definedName>
    <definedName name="dff">#REF!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gd" hidden="1">{#N/A,#N/A,TRUE,"Cover";#N/A,#N/A,TRUE,"Conts";#N/A,#N/A,TRUE,"VOS";#N/A,#N/A,TRUE,"Warrington";#N/A,#N/A,TRUE,"Widnes"}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shfj" hidden="1">{"'Break down'!$A$4"}</definedName>
    <definedName name="dghkl" hidden="1">{"'Bill No. 7'!$A$1:$G$32"}</definedName>
    <definedName name="dhs">#REF!</definedName>
    <definedName name="DHTML" hidden="1">{"'Sheet1'!$A$4386:$N$4591"}</definedName>
    <definedName name="DiM">#REF!</definedName>
    <definedName name="disc_Prog_chart">#REF!</definedName>
    <definedName name="Disciplines">#REF!</definedName>
    <definedName name="distribution">#REF!</definedName>
    <definedName name="djjii" hidden="1">{#N/A,#N/A,TRUE,"Cover";#N/A,#N/A,TRUE,"Conts";#N/A,#N/A,TRUE,"VOS";#N/A,#N/A,TRUE,"Warrington";#N/A,#N/A,TRUE,"Widnes"}</definedName>
    <definedName name="dl" hidden="1">{#N/A,#N/A,FALSE,"CCTV"}</definedName>
    <definedName name="DOA">#REF!</definedName>
    <definedName name="doc_cost">#REF!</definedName>
    <definedName name="Dog">#REF!</definedName>
    <definedName name="door" hidden="1">{"'Break down'!$A$4"}</definedName>
    <definedName name="DOORS">#REF!</definedName>
    <definedName name="dp">#REF!</definedName>
    <definedName name="dpr" hidden="1">{"'Sheet1'!$A$4386:$N$4591"}</definedName>
    <definedName name="dpSC">#REF!</definedName>
    <definedName name="DPTN">#REF!</definedName>
    <definedName name="dr">#N/A</definedName>
    <definedName name="Draft_4__BR">#REF!</definedName>
    <definedName name="Drawdown_Reconciled_Flag">#REF!</definedName>
    <definedName name="DROW">#REF!</definedName>
    <definedName name="drs">#REF!</definedName>
    <definedName name="drytytuyu" hidden="1">{#N/A,#N/A,TRUE,"Cover";#N/A,#N/A,TRUE,"Conts";#N/A,#N/A,TRUE,"VOS";#N/A,#N/A,TRUE,"Warrington";#N/A,#N/A,TRUE,"Widnes"}</definedName>
    <definedName name="dsadaSFDWE">#REF!</definedName>
    <definedName name="dsdsaqd">#REF!</definedName>
    <definedName name="dsfdf">#REF!</definedName>
    <definedName name="dsfdsf">#REF!</definedName>
    <definedName name="dsfdsfds">#REF!</definedName>
    <definedName name="dsfdsfdsf">#REF!</definedName>
    <definedName name="DSM">#REF!</definedName>
    <definedName name="DSRA_Calc">#REF!</definedName>
    <definedName name="DSRA_COPY">#REF!</definedName>
    <definedName name="dsra_hcpaste">OFFSET(DSRA_Calc,Option,0)</definedName>
    <definedName name="DST">#REF!</definedName>
    <definedName name="DSumRange">#REF!</definedName>
    <definedName name="DTCMS_Steps">#REF!</definedName>
    <definedName name="dtdry" hidden="1">{#N/A,#N/A,TRUE,"Cover";#N/A,#N/A,TRUE,"Conts";#N/A,#N/A,TRUE,"VOS";#N/A,#N/A,TRUE,"Warrington";#N/A,#N/A,TRUE,"Widnes"}</definedName>
    <definedName name="dtngn" hidden="1">{"'Break down'!$A$4"}</definedName>
    <definedName name="dturuthju" hidden="1">{#N/A,#N/A,TRUE,"Cover";#N/A,#N/A,TRUE,"Conts";#N/A,#N/A,TRUE,"VOS";#N/A,#N/A,TRUE,"Warrington";#N/A,#N/A,TRUE,"Widnes"}</definedName>
    <definedName name="DTYPE">#REF!</definedName>
    <definedName name="DuctMaterial">#REF!</definedName>
    <definedName name="DuctworkCarpark">#REF!</definedName>
    <definedName name="DuctworkCarpark1">#REF!</definedName>
    <definedName name="DuctworkTowerBldg">#REF!</definedName>
    <definedName name="dueuuiyj" hidden="1">{#N/A,#N/A,TRUE,"Cover";#N/A,#N/A,TRUE,"Conts";#N/A,#N/A,TRUE,"VOS";#N/A,#N/A,TRUE,"Warrington";#N/A,#N/A,TRUE,"Widnes"}</definedName>
    <definedName name="dummy">#N/A</definedName>
    <definedName name="Duration1">#REF!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fr">#N/A</definedName>
    <definedName name="dydfugfuj" hidden="1">{#N/A,#N/A,TRUE,"Cover";#N/A,#N/A,TRUE,"Conts";#N/A,#N/A,TRUE,"VOS";#N/A,#N/A,TRUE,"Warrington";#N/A,#N/A,TRUE,"Widnes"}</definedName>
    <definedName name="dyuiuouo" hidden="1">{#N/A,#N/A,TRUE,"Cover";#N/A,#N/A,TRUE,"Conts";#N/A,#N/A,TRUE,"VOS";#N/A,#N/A,TRUE,"Warrington";#N/A,#N/A,TRUE,"Widnes"}</definedName>
    <definedName name="E">#REF!</definedName>
    <definedName name="E____FLOORING___WALL_TILES">#REF!</definedName>
    <definedName name="E_C_HARRIS___TENDER_PRICE_INDEX">#REF!</definedName>
    <definedName name="e_coat">#REF!</definedName>
    <definedName name="E_MONTH">#REF!</definedName>
    <definedName name="E_MONTH_CUM">#REF!</definedName>
    <definedName name="E_MONTH_INCR">#REF!</definedName>
    <definedName name="E_score">#REF!</definedName>
    <definedName name="E_STAFF">#REF!</definedName>
    <definedName name="E_STAFF_SUP_ACT">#REF!</definedName>
    <definedName name="E_STAFF_SUP_FR">#REF!</definedName>
    <definedName name="E_STAFF_SUP_PLN">#REF!</definedName>
    <definedName name="E_STAFF_TOT_ACT">#REF!</definedName>
    <definedName name="E_STAFF_TOT_FR">#REF!</definedName>
    <definedName name="E_STAFF_TOT_PLN">#REF!</definedName>
    <definedName name="E_TM">#REF!</definedName>
    <definedName name="E_TOT_ACT">#REF!</definedName>
    <definedName name="E_TOT_FRCST">#REF!</definedName>
    <definedName name="E_TOT_PLAN">#REF!</definedName>
    <definedName name="eagrga" hidden="1">{#N/A,#N/A,TRUE,"Cover";#N/A,#N/A,TRUE,"Conts";#N/A,#N/A,TRUE,"VOS";#N/A,#N/A,TRUE,"Warrington";#N/A,#N/A,TRUE,"Widnes"}</definedName>
    <definedName name="Earned_CTD">#REF!</definedName>
    <definedName name="earth" hidden="1">{"'Sheet1'!$A$4386:$N$4591"}</definedName>
    <definedName name="Ebc">#REF!</definedName>
    <definedName name="ECH">OFFSET(#REF!,1,0,COUNTA(#REF!)-(#REF!+3))</definedName>
    <definedName name="ECHCert">OFFSET(#REF!,1,0,COUNTA(#REF!)-(#REF!+2))</definedName>
    <definedName name="EconIndicators">#REF!</definedName>
    <definedName name="EconIndPrimary">#REF!</definedName>
    <definedName name="Economic_Ground_Rent">#REF!</definedName>
    <definedName name="Economy">#REF!</definedName>
    <definedName name="edds">#REF!</definedName>
    <definedName name="Education_type">#REF!</definedName>
    <definedName name="EE">#REF!</definedName>
    <definedName name="eeeee" hidden="1">{#N/A,#N/A,TRUE,"Cover";#N/A,#N/A,TRUE,"Conts";#N/A,#N/A,TRUE,"VOS";#N/A,#N/A,TRUE,"Warrington";#N/A,#N/A,TRUE,"Widnes"}</definedName>
    <definedName name="EF">#REF!</definedName>
    <definedName name="EFA">#REF!</definedName>
    <definedName name="egag" hidden="1">{#N/A,#N/A,TRUE,"Cover";#N/A,#N/A,TRUE,"Conts";#N/A,#N/A,TRUE,"VOS";#N/A,#N/A,TRUE,"Warrington";#N/A,#N/A,TRUE,"Widnes"}</definedName>
    <definedName name="Ei_Summary">#REF!</definedName>
    <definedName name="Ele" hidden="1">{"'Break down'!$A$4"}</definedName>
    <definedName name="elec">#REF!</definedName>
    <definedName name="ELECBILL">#REF!</definedName>
    <definedName name="Electrical" hidden="1">{#N/A,#N/A,FALSE,"mgtsum.XLS";#N/A,#N/A,FALSE,"CAPONE";#N/A,#N/A,FALSE,"CAPTWO";#N/A,#N/A,FALSE,"CAPTHREE"}</definedName>
    <definedName name="elem">#REF!</definedName>
    <definedName name="Element">#REF!</definedName>
    <definedName name="element1a">#REF!</definedName>
    <definedName name="element2a">#REF!</definedName>
    <definedName name="element2b">#REF!</definedName>
    <definedName name="element2c">#REF!</definedName>
    <definedName name="element2d">#REF!</definedName>
    <definedName name="element2e">#REF!</definedName>
    <definedName name="element2f">#REF!</definedName>
    <definedName name="element2g">#REF!</definedName>
    <definedName name="element2h">#REF!</definedName>
    <definedName name="element3a">#REF!</definedName>
    <definedName name="element3b">#REF!</definedName>
    <definedName name="element3c">#REF!</definedName>
    <definedName name="element4a">#REF!</definedName>
    <definedName name="element4b">#REF!</definedName>
    <definedName name="element4c">#REF!</definedName>
    <definedName name="element5a">#REF!</definedName>
    <definedName name="element5b">#REF!</definedName>
    <definedName name="element5c">#REF!</definedName>
    <definedName name="element5d">#REF!</definedName>
    <definedName name="element5e">#REF!</definedName>
    <definedName name="element5f">#REF!</definedName>
    <definedName name="element5g">#REF!</definedName>
    <definedName name="element5h">#REF!</definedName>
    <definedName name="element5i">#REF!</definedName>
    <definedName name="element5j">#REF!</definedName>
    <definedName name="element5k">#REF!</definedName>
    <definedName name="element5l">#REF!</definedName>
    <definedName name="element5m">#REF!</definedName>
    <definedName name="element5n">#REF!</definedName>
    <definedName name="element6a">#REF!</definedName>
    <definedName name="element6b">#REF!</definedName>
    <definedName name="element6c">#REF!</definedName>
    <definedName name="element6d">#REF!</definedName>
    <definedName name="elementpmi">#REF!</definedName>
    <definedName name="ELEV1">#REF!</definedName>
    <definedName name="ELEV2">#REF!</definedName>
    <definedName name="ELEV3">#REF!</definedName>
    <definedName name="ELEVATORS">#REF!</definedName>
    <definedName name="Emb108a">#REF!</definedName>
    <definedName name="Emb108c">#REF!</definedName>
    <definedName name="Employers">#REF!</definedName>
    <definedName name="ENABLE">#REF!</definedName>
    <definedName name="End_Row">#REF!</definedName>
    <definedName name="ENDEDRUCK">#REF!</definedName>
    <definedName name="Ending_Balance">#N/A</definedName>
    <definedName name="engr_act">#REF!</definedName>
    <definedName name="ENGR_ACT_CUM">#REF!</definedName>
    <definedName name="engr_deliverables">#REF!</definedName>
    <definedName name="ENGR_FOR_CUM">#REF!</definedName>
    <definedName name="ENGR_PLAN_CUM">#REF!</definedName>
    <definedName name="engr_progress">#REF!</definedName>
    <definedName name="engr_progress_details">#REF!</definedName>
    <definedName name="engr_staff">#REF!</definedName>
    <definedName name="engr_table">#REF!</definedName>
    <definedName name="EnvestUplift">#REF!</definedName>
    <definedName name="ephase">#REF!</definedName>
    <definedName name="eqpmtds">#REF!</definedName>
    <definedName name="eqpmtss">#REF!</definedName>
    <definedName name="equip">#REF!</definedName>
    <definedName name="equipdim">#REF!</definedName>
    <definedName name="equipsds">#REF!</definedName>
    <definedName name="equipsewer">#REF!</definedName>
    <definedName name="EquityYield">#REF!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gaghag" hidden="1">{#N/A,#N/A,TRUE,"Cover";#N/A,#N/A,TRUE,"Conts";#N/A,#N/A,TRUE,"VOS";#N/A,#N/A,TRUE,"Warrington";#N/A,#N/A,TRUE,"Widnes"}</definedName>
    <definedName name="ergega" hidden="1">{#N/A,#N/A,TRUE,"Cover";#N/A,#N/A,TRUE,"Conts";#N/A,#N/A,TRUE,"VOS";#N/A,#N/A,TRUE,"Warrington";#N/A,#N/A,TRUE,"Widnes"}</definedName>
    <definedName name="ergtaeg" hidden="1">{#N/A,#N/A,TRUE,"Cover";#N/A,#N/A,TRUE,"Conts";#N/A,#N/A,TRUE,"VOS";#N/A,#N/A,TRUE,"Warrington";#N/A,#N/A,TRUE,"Widnes"}</definedName>
    <definedName name="Erstellen_Leerform_AKABAM">#REF!</definedName>
    <definedName name="ersyy" hidden="1">{#N/A,#N/A,TRUE,"Cover";#N/A,#N/A,TRUE,"Conts";#N/A,#N/A,TRUE,"VOS";#N/A,#N/A,TRUE,"Warrington";#N/A,#N/A,TRUE,"Widnes"}</definedName>
    <definedName name="ertertyry" hidden="1">{#N/A,#N/A,TRUE,"Cover";#N/A,#N/A,TRUE,"Conts";#N/A,#N/A,TRUE,"VOS";#N/A,#N/A,TRUE,"Warrington";#N/A,#N/A,TRUE,"Widnes"}</definedName>
    <definedName name="erterydrutru" hidden="1">{#N/A,#N/A,TRUE,"Cover";#N/A,#N/A,TRUE,"Conts";#N/A,#N/A,TRUE,"VOS";#N/A,#N/A,TRUE,"Warrington";#N/A,#N/A,TRUE,"Widnes"}</definedName>
    <definedName name="erteysry" hidden="1">{#N/A,#N/A,TRUE,"Cover";#N/A,#N/A,TRUE,"Conts";#N/A,#N/A,TRUE,"VOS";#N/A,#N/A,TRUE,"Warrington";#N/A,#N/A,TRUE,"Widnes"}</definedName>
    <definedName name="eryr" hidden="1">{#N/A,#N/A,TRUE,"Cover";#N/A,#N/A,TRUE,"Conts";#N/A,#N/A,TRUE,"VOS";#N/A,#N/A,TRUE,"Warrington";#N/A,#N/A,TRUE,"Widnes"}</definedName>
    <definedName name="eryrutru" hidden="1">{#N/A,#N/A,TRUE,"Cover";#N/A,#N/A,TRUE,"Conts";#N/A,#N/A,TRUE,"VOS";#N/A,#N/A,TRUE,"Warrington";#N/A,#N/A,TRUE,"Widnes"}</definedName>
    <definedName name="erytrh" hidden="1">{#N/A,#N/A,TRUE,"Cover";#N/A,#N/A,TRUE,"Conts";#N/A,#N/A,TRUE,"VOS";#N/A,#N/A,TRUE,"Warrington";#N/A,#N/A,TRUE,"Widnes"}</definedName>
    <definedName name="erytuui" hidden="1">{#N/A,#N/A,TRUE,"Cover";#N/A,#N/A,TRUE,"Conts";#N/A,#N/A,TRUE,"VOS";#N/A,#N/A,TRUE,"Warrington";#N/A,#N/A,TRUE,"Widnes"}</definedName>
    <definedName name="eryytrysy" hidden="1">{#N/A,#N/A,TRUE,"Cover";#N/A,#N/A,TRUE,"Conts";#N/A,#N/A,TRUE,"VOS";#N/A,#N/A,TRUE,"Warrington";#N/A,#N/A,TRUE,"Widnes"}</definedName>
    <definedName name="ES">#REF!</definedName>
    <definedName name="ESA">#REF!</definedName>
    <definedName name="ESC">#REF!</definedName>
    <definedName name="Escalation">#REF!</definedName>
    <definedName name="ESCALATORS">#REF!</definedName>
    <definedName name="estetystry" hidden="1">{#N/A,#N/A,TRUE,"Cover";#N/A,#N/A,TRUE,"Conts";#N/A,#N/A,TRUE,"VOS";#N/A,#N/A,TRUE,"Warrington";#N/A,#N/A,TRUE,"Widnes"}</definedName>
    <definedName name="estimateb" hidden="1">{#N/A,#N/A,TRUE,"Cover";#N/A,#N/A,TRUE,"Conts";#N/A,#N/A,TRUE,"VOS";#N/A,#N/A,TRUE,"Warrington";#N/A,#N/A,TRUE,"Widnes"}</definedName>
    <definedName name="Estimated_Building_Cost">#REF!</definedName>
    <definedName name="Estimated_Drawdowns">#REF!</definedName>
    <definedName name="Estimated_Land_Value">#REF!</definedName>
    <definedName name="etertyr" hidden="1">{#N/A,#N/A,TRUE,"Cover";#N/A,#N/A,TRUE,"Conts";#N/A,#N/A,TRUE,"VOS";#N/A,#N/A,TRUE,"Warrington";#N/A,#N/A,TRUE,"Widnes"}</definedName>
    <definedName name="etetert" hidden="1">{#N/A,#N/A,TRUE,"Cover";#N/A,#N/A,TRUE,"Conts";#N/A,#N/A,TRUE,"VOS";#N/A,#N/A,TRUE,"Warrington";#N/A,#N/A,TRUE,"Widnes"}</definedName>
    <definedName name="etr6str7tuiuo" hidden="1">{#N/A,#N/A,TRUE,"Cover";#N/A,#N/A,TRUE,"Conts";#N/A,#N/A,TRUE,"VOS";#N/A,#N/A,TRUE,"Warrington";#N/A,#N/A,TRUE,"Widnes"}</definedName>
    <definedName name="etretyer" hidden="1">{#N/A,#N/A,TRUE,"Cover";#N/A,#N/A,TRUE,"Conts";#N/A,#N/A,TRUE,"VOS";#N/A,#N/A,TRUE,"Warrington";#N/A,#N/A,TRUE,"Widnes"}</definedName>
    <definedName name="etyegf" hidden="1">{#N/A,#N/A,TRUE,"Cover";#N/A,#N/A,TRUE,"Conts";#N/A,#N/A,TRUE,"VOS";#N/A,#N/A,TRUE,"Warrington";#N/A,#N/A,TRUE,"Widnes"}</definedName>
    <definedName name="etyytr" hidden="1">{#N/A,#N/A,TRUE,"Cover";#N/A,#N/A,TRUE,"Conts";#N/A,#N/A,TRUE,"VOS";#N/A,#N/A,TRUE,"Warrington";#N/A,#N/A,TRUE,"Widnes"}</definedName>
    <definedName name="EURO">#REF!</definedName>
    <definedName name="ewateryryxyz" hidden="1">{#N/A,#N/A,TRUE,"Cover";#N/A,#N/A,TRUE,"Conts";#N/A,#N/A,TRUE,"VOS";#N/A,#N/A,TRUE,"Warrington";#N/A,#N/A,TRUE,"Widnes"}</definedName>
    <definedName name="ewt" hidden="1">{#N/A,#N/A,TRUE,"Cover";#N/A,#N/A,TRUE,"Conts";#N/A,#N/A,TRUE,"VOS";#N/A,#N/A,TRUE,"Warrington";#N/A,#N/A,TRUE,"Widnes"}</definedName>
    <definedName name="ewtateryry" hidden="1">{#N/A,#N/A,TRUE,"Cover";#N/A,#N/A,TRUE,"Conts";#N/A,#N/A,TRUE,"VOS";#N/A,#N/A,TRUE,"Warrington";#N/A,#N/A,TRUE,"Widnes"}</definedName>
    <definedName name="EX">#REF!</definedName>
    <definedName name="ExactAddinConnection" hidden="1">"711"</definedName>
    <definedName name="ExactAddinConnection.711" hidden="1">"dbs2001;711;a12301;1"</definedName>
    <definedName name="ExactAddinConnection.811" hidden="1">"DBS2001;811;a12318;1"</definedName>
    <definedName name="ExactAddinConnection.998" hidden="1">"wong109178-1;998;chey109859;1"</definedName>
    <definedName name="ExactAddinReports" hidden="1">25</definedName>
    <definedName name="excav">#REF!</definedName>
    <definedName name="Exch">#REF!</definedName>
    <definedName name="Excluded">#REF!</definedName>
    <definedName name="eXCLUSIONS" hidden="1">{#N/A,#N/A,TRUE,"Cover";#N/A,#N/A,TRUE,"Conts";#N/A,#N/A,TRUE,"VOS";#N/A,#N/A,TRUE,"Warrington";#N/A,#N/A,TRUE,"Widnes"}</definedName>
    <definedName name="ExecSumfinal">#REF!</definedName>
    <definedName name="Expense_Code">#REF!</definedName>
    <definedName name="_xlnm.Extract">#REF!</definedName>
    <definedName name="EXTWORK">#REF!</definedName>
    <definedName name="eyt" hidden="1">{"'Break down'!$A$4"}</definedName>
    <definedName name="eyy" hidden="1">{#N/A,#N/A,TRUE,"Cover";#N/A,#N/A,TRUE,"Conts";#N/A,#N/A,TRUE,"VOS";#N/A,#N/A,TRUE,"Warrington";#N/A,#N/A,TRUE,"Widnes"}</definedName>
    <definedName name="F">#REF!</definedName>
    <definedName name="F_____PAINTING">#REF!</definedName>
    <definedName name="F_B">#REF!</definedName>
    <definedName name="F_BModel1">#REF!</definedName>
    <definedName name="F_BModel2">#REF!</definedName>
    <definedName name="F_BModel3">#REF!</definedName>
    <definedName name="F_BModel4">#REF!</definedName>
    <definedName name="F_BModel5">#REF!</definedName>
    <definedName name="f_hardener">#REF!</definedName>
    <definedName name="F1_">#REF!</definedName>
    <definedName name="F2_">#REF!</definedName>
    <definedName name="F5_">#REF!</definedName>
    <definedName name="F6_">#REF!</definedName>
    <definedName name="F7_">#REF!</definedName>
    <definedName name="fab_details">#REF!</definedName>
    <definedName name="fab_progress">#REF!</definedName>
    <definedName name="fab_staff">#REF!</definedName>
    <definedName name="fab_staffing">#REF!</definedName>
    <definedName name="Facilities">#REF!</definedName>
    <definedName name="factot">#REF!</definedName>
    <definedName name="fajfkj" hidden="1">{"'Break down'!$A$4"}</definedName>
    <definedName name="FamilyAndTypeName">#REF!</definedName>
    <definedName name="FANS">#REF!</definedName>
    <definedName name="Fb">#REF!</definedName>
    <definedName name="FB_1CONT">#REF!</definedName>
    <definedName name="FB2P2">#REF!</definedName>
    <definedName name="FB2P3">#REF!</definedName>
    <definedName name="FB2P4">#REF!</definedName>
    <definedName name="FB2P5">#REF!</definedName>
    <definedName name="FB2P6">#REF!</definedName>
    <definedName name="FBS">#REF!</definedName>
    <definedName name="FC">#REF!</definedName>
    <definedName name="FCU">#REF!</definedName>
    <definedName name="f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d2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dg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FDR" hidden="1">#REF!</definedName>
    <definedName name="fence">#REF!</definedName>
    <definedName name="FF">#REF!</definedName>
    <definedName name="ffe">#REF!</definedName>
    <definedName name="FFh">#REF!</definedName>
    <definedName name="FFLOOR">#REF!</definedName>
    <definedName name="FFo">#REF!</definedName>
    <definedName name="FFr">#REF!</definedName>
    <definedName name="fg" hidden="1">{#N/A,#N/A,TRUE,"Cover";#N/A,#N/A,TRUE,"Conts";#N/A,#N/A,TRUE,"VOS";#N/A,#N/A,TRUE,"Warrington";#N/A,#N/A,TRUE,"Widnes"}</definedName>
    <definedName name="FGC">#REF!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jjjkyg" hidden="1">{#N/A,#N/A,TRUE,"Cover";#N/A,#N/A,TRUE,"Conts";#N/A,#N/A,TRUE,"VOS";#N/A,#N/A,TRUE,"Warrington";#N/A,#N/A,TRUE,"Widnes"}</definedName>
    <definedName name="fgtt" hidden="1">{"'Sheet1'!$A$4386:$N$4591"}</definedName>
    <definedName name="fhgujguthi" hidden="1">{#N/A,#N/A,TRUE,"Cover";#N/A,#N/A,TRUE,"Conts";#N/A,#N/A,TRUE,"VOS";#N/A,#N/A,TRUE,"Warrington";#N/A,#N/A,TRUE,"Widnes"}</definedName>
    <definedName name="fhjsjs" hidden="1">{#N/A,#N/A,TRUE,"Cover";#N/A,#N/A,TRUE,"Conts";#N/A,#N/A,TRUE,"VOS";#N/A,#N/A,TRUE,"Warrington";#N/A,#N/A,TRUE,"Widnes"}</definedName>
    <definedName name="FILELCNA">#REF!</definedName>
    <definedName name="fill">#REF!</definedName>
    <definedName name="finalct">#REF!</definedName>
    <definedName name="FIND_MONTH">#REF!</definedName>
    <definedName name="finishes" hidden="1">{"'Break down'!$A$4"}</definedName>
    <definedName name="fire">#REF!</definedName>
    <definedName name="FirePump">#REF!</definedName>
    <definedName name="fiyu" hidden="1">{"'Break down'!$A$4"}</definedName>
    <definedName name="fjhgfd" hidden="1">{"'Sheet1'!$A$4386:$N$4591"}</definedName>
    <definedName name="fkfkvhikkhju" hidden="1">{#N/A,#N/A,TRUE,"Cover";#N/A,#N/A,TRUE,"Conts";#N/A,#N/A,TRUE,"VOS";#N/A,#N/A,TRUE,"Warrington";#N/A,#N/A,TRUE,"Widnes"}</definedName>
    <definedName name="flbd">#REF!</definedName>
    <definedName name="flds">#REF!</definedName>
    <definedName name="fler">#REF!</definedName>
    <definedName name="FLOOR">#REF!</definedName>
    <definedName name="Floors">#REF!</definedName>
    <definedName name="flp">#REF!</definedName>
    <definedName name="flrrow">#REF!</definedName>
    <definedName name="flsw">#REF!</definedName>
    <definedName name="flws">#REF!</definedName>
    <definedName name="FoodandBev">#REF!</definedName>
    <definedName name="FoodandBeverage">#REF!</definedName>
    <definedName name="forecastfinal">#REF!</definedName>
    <definedName name="format">#REF!</definedName>
    <definedName name="founds">#REF!</definedName>
    <definedName name="FP">Data!$C$75:$C$78</definedName>
    <definedName name="frame">#REF!</definedName>
    <definedName name="fret_cost">#REF!</definedName>
    <definedName name="frjj" hidden="1">{#N/A,#N/A,TRUE,"Cover";#N/A,#N/A,TRUE,"Conts";#N/A,#N/A,TRUE,"VOS";#N/A,#N/A,TRUE,"Warrington";#N/A,#N/A,TRUE,"Widnes"}</definedName>
    <definedName name="FS_SheetName_Range">#REF!</definedName>
    <definedName name="fsd" hidden="1">{#N/A,#N/A,FALSE,"mgtsum.XLS";#N/A,#N/A,FALSE,"CAPONE";#N/A,#N/A,FALSE,"CAPTWO";#N/A,#N/A,FALSE,"CAPTHREE"}</definedName>
    <definedName name="fsdd" hidden="1">#REF!</definedName>
    <definedName name="fsfasfas" hidden="1">{#N/A,#N/A,FALSE,"HO Rates";#N/A,#N/A,FALSE,"HO Sum"}</definedName>
    <definedName name="FSumAnnualOpex">SUM(OFFSET(#REF!,ROW(#REF!)-1,#REF!-1):OFFSET(#REF!,ROW(#REF!)-1,#REF!-1))</definedName>
    <definedName name="fuck" hidden="1">#REF!</definedName>
    <definedName name="Full_Model_Name">#REF!</definedName>
    <definedName name="fullTl">#REF!</definedName>
    <definedName name="fund" hidden="1">{"'Sheet1'!$A$4386:$N$4591"}</definedName>
    <definedName name="funds" hidden="1">{"'Sheet1'!$A$4386:$N$4591"}</definedName>
    <definedName name="furniture">#REF!</definedName>
    <definedName name="G">#REF!</definedName>
    <definedName name="G______SANITARY___PLUMBING">#REF!</definedName>
    <definedName name="gaeg" hidden="1">{#N/A,#N/A,TRUE,"Cover";#N/A,#N/A,TRUE,"Conts";#N/A,#N/A,TRUE,"VOS";#N/A,#N/A,TRUE,"Warrington";#N/A,#N/A,TRUE,"Widnes"}</definedName>
    <definedName name="gaegg" hidden="1">{#N/A,#N/A,TRUE,"Cover";#N/A,#N/A,TRUE,"Conts";#N/A,#N/A,TRUE,"VOS";#N/A,#N/A,TRUE,"Warrington";#N/A,#N/A,TRUE,"Widnes"}</definedName>
    <definedName name="gas">#REF!</definedName>
    <definedName name="gb">#REF!</definedName>
    <definedName name="GBPtoDhs">#REF!</definedName>
    <definedName name="gdfdf">#REF!</definedName>
    <definedName name="gdfgdfgfdg">#REF!</definedName>
    <definedName name="geag" hidden="1">{#N/A,#N/A,TRUE,"Cover";#N/A,#N/A,TRUE,"Conts";#N/A,#N/A,TRUE,"VOS";#N/A,#N/A,TRUE,"Warrington";#N/A,#N/A,TRUE,"Widnes"}</definedName>
    <definedName name="gerger" hidden="1">{#N/A,#N/A,TRUE,"Cover";#N/A,#N/A,TRUE,"Conts";#N/A,#N/A,TRUE,"VOS";#N/A,#N/A,TRUE,"Warrington";#N/A,#N/A,TRUE,"Widnes"}</definedName>
    <definedName name="gf" hidden="1">{#N/A,#N/A,TRUE,"Cover";#N/A,#N/A,TRUE,"Conts";#N/A,#N/A,TRUE,"VOS";#N/A,#N/A,TRUE,"Warrington";#N/A,#N/A,TRUE,"Widnes"}</definedName>
    <definedName name="GFA">#REF!</definedName>
    <definedName name="gfdgdfg">#REF!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drgdfhyyj" hidden="1">{#N/A,#N/A,TRUE,"Cover";#N/A,#N/A,TRUE,"Conts";#N/A,#N/A,TRUE,"VOS";#N/A,#N/A,TRUE,"Warrington";#N/A,#N/A,TRUE,"Widnes"}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 hidden="1">{"'Break down'!$A$4"}</definedName>
    <definedName name="ghsdhth" hidden="1">{#N/A,#N/A,TRUE,"Cover";#N/A,#N/A,TRUE,"Conts";#N/A,#N/A,TRUE,"VOS";#N/A,#N/A,TRUE,"Warrington";#N/A,#N/A,TRUE,"Widnes"}</definedName>
    <definedName name="ghsg" hidden="1">{#N/A,#N/A,TRUE,"Cover";#N/A,#N/A,TRUE,"Conts";#N/A,#N/A,TRUE,"VOS";#N/A,#N/A,TRUE,"Warrington";#N/A,#N/A,TRUE,"Widnes"}</definedName>
    <definedName name="GIFA">#REF!</definedName>
    <definedName name="gij" hidden="1">{"'Break down'!$A$4"}</definedName>
    <definedName name="gjahgkj" hidden="1">{#N/A,#N/A,TRUE,"Cover";#N/A,#N/A,TRUE,"Conts";#N/A,#N/A,TRUE,"VOS";#N/A,#N/A,TRUE,"Warrington";#N/A,#N/A,TRUE,"Widnes"}</definedName>
    <definedName name="gjkkl" hidden="1">{#N/A,#N/A,TRUE,"Cover";#N/A,#N/A,TRUE,"Conts";#N/A,#N/A,TRUE,"VOS";#N/A,#N/A,TRUE,"Warrington";#N/A,#N/A,TRUE,"Widnes"}</definedName>
    <definedName name="GLASS">#REF!</definedName>
    <definedName name="GLAZING">#REF!</definedName>
    <definedName name="GLevel">#REF!</definedName>
    <definedName name="globale_marge">#REF!</definedName>
    <definedName name="graph">#REF!</definedName>
    <definedName name="greater">#REF!</definedName>
    <definedName name="Gross_Margin">#REF!</definedName>
    <definedName name="GROUND">#REF!</definedName>
    <definedName name="GroutedRiprap">#REF!</definedName>
    <definedName name="grt">#REF!</definedName>
    <definedName name="gtrghr" hidden="1">{#N/A,#N/A,TRUE,"Cover";#N/A,#N/A,TRUE,"Conts";#N/A,#N/A,TRUE,"VOS";#N/A,#N/A,TRUE,"Warrington";#N/A,#N/A,TRUE,"Widnes"}</definedName>
    <definedName name="guestroom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Guestrooms">#REF!</definedName>
    <definedName name="GV">#REF!</definedName>
    <definedName name="gwgtergyr" hidden="1">{#N/A,#N/A,TRUE,"Cover";#N/A,#N/A,TRUE,"Conts";#N/A,#N/A,TRUE,"VOS";#N/A,#N/A,TRUE,"Warrington";#N/A,#N/A,TRUE,"Widnes"}</definedName>
    <definedName name="H">#REF!</definedName>
    <definedName name="H_______EARTH_WORKS">#REF!</definedName>
    <definedName name="H_______PLUMBING_PVC_PIPES">#REF!</definedName>
    <definedName name="H_CAL">#REF!</definedName>
    <definedName name="H_MON">#REF!</definedName>
    <definedName name="haul">#REF!</definedName>
    <definedName name="HC">#REF!</definedName>
    <definedName name="Header_Row">#N/A</definedName>
    <definedName name="Header_Row_Back">ROW(#REF!)</definedName>
    <definedName name="HeadWall">#REF!</definedName>
    <definedName name="Health_type">#REF!</definedName>
    <definedName name="Healthcare">#REF!</definedName>
    <definedName name="height">#REF!</definedName>
    <definedName name="hello">#REF!</definedName>
    <definedName name="help">#REF!</definedName>
    <definedName name="hfhgf" hidden="1">{#N/A,#N/A,TRUE,"Cover";#N/A,#N/A,TRUE,"Conts";#N/A,#N/A,TRUE,"VOS";#N/A,#N/A,TRUE,"Warrington";#N/A,#N/A,TRUE,"Widnes"}</definedName>
    <definedName name="hgfdhg">#REF!</definedName>
    <definedName name="hgkhlh" hidden="1">{"'Break down'!$A$4"}</definedName>
    <definedName name="HH">#REF!</definedName>
    <definedName name="hhh">#REF!</definedName>
    <definedName name="HHHH" hidden="1">{"'8'!$B$1:$I$46"}</definedName>
    <definedName name="HIGH">#REF!</definedName>
    <definedName name="History">#REF!</definedName>
    <definedName name="hj" hidden="1">#REF!</definedName>
    <definedName name="hjdj" hidden="1">{#N/A,#N/A,TRUE,"Cover";#N/A,#N/A,TRUE,"Conts";#N/A,#N/A,TRUE,"VOS";#N/A,#N/A,TRUE,"Warrington";#N/A,#N/A,TRUE,"Widnes"}</definedName>
    <definedName name="hland">#REF!</definedName>
    <definedName name="hlbd">#REF!</definedName>
    <definedName name="hlp">#REF!</definedName>
    <definedName name="HO">#REF!</definedName>
    <definedName name="ho_progress_detail">#REF!</definedName>
    <definedName name="HO2_">#REF!</definedName>
    <definedName name="HOR_TOP">#REF!</definedName>
    <definedName name="Hotel_net_of_Comp">#REF!</definedName>
    <definedName name="Hotel_std">#REF!</definedName>
    <definedName name="Housing_Std">#REF!</definedName>
    <definedName name="hplay">#REF!</definedName>
    <definedName name="hrcs">#REF!</definedName>
    <definedName name="hshjy" hidden="1">{#N/A,#N/A,TRUE,"Cover";#N/A,#N/A,TRUE,"Conts";#N/A,#N/A,TRUE,"VOS";#N/A,#N/A,TRUE,"Warrington";#N/A,#N/A,TRUE,"Widnes"}</definedName>
    <definedName name="hshxdht" hidden="1">{#N/A,#N/A,TRUE,"Cover";#N/A,#N/A,TRUE,"Conts";#N/A,#N/A,TRUE,"VOS";#N/A,#N/A,TRUE,"Warrington";#N/A,#N/A,TRUE,"Widnes"}</definedName>
    <definedName name="hsyhjtyhj" hidden="1">{#N/A,#N/A,TRUE,"Cover";#N/A,#N/A,TRUE,"Conts";#N/A,#N/A,TRUE,"VOS";#N/A,#N/A,TRUE,"Warrington";#N/A,#N/A,TRUE,"Widnes"}</definedName>
    <definedName name="htg">#REF!</definedName>
    <definedName name="hth">#REF!</definedName>
    <definedName name="HTML_CodePage" hidden="1">9</definedName>
    <definedName name="HTML_Control" hidden="1">{"'Break down'!$A$4"}</definedName>
    <definedName name="html_control1" hidden="1">{"'Sheet1'!$A$4386:$N$4591"}</definedName>
    <definedName name="HTML_control2" hidden="1">{"'Sheet1'!$A$4386:$N$4591"}</definedName>
    <definedName name="HTML_Description" hidden="1">""</definedName>
    <definedName name="HTML_Email" hidden="1">""</definedName>
    <definedName name="HTML_Header" hidden="1">"Break down"</definedName>
    <definedName name="HTML_LastUpdate" hidden="1">"6/7/98"</definedName>
    <definedName name="HTML_LineAfter" hidden="1">FALSE</definedName>
    <definedName name="HTML_LineBefore" hidden="1">FALSE</definedName>
    <definedName name="HTML_Name" hidden="1">"PAUL MATHEW"</definedName>
    <definedName name="HTML_OBDlg2" hidden="1">TRUE</definedName>
    <definedName name="HTML_OBDlg4" hidden="1">TRUE</definedName>
    <definedName name="HTML_OS" hidden="1">0</definedName>
    <definedName name="HTML_PathFile" hidden="1">"C:\WINDOWS\MSAPPS\MyHTML.htm"</definedName>
    <definedName name="HTML_Title" hidden="1">"Break_down"</definedName>
    <definedName name="HTML1_10" hidden="1">"charles_l_blake@ccm.rr.intel.com"</definedName>
    <definedName name="HTML1_11" hidden="1">1</definedName>
    <definedName name="HTML1_12" hidden="1">"C:\CWeb\P858VFCPA\9712\timeline.htm"</definedName>
    <definedName name="HTML1_2" hidden="1">1</definedName>
    <definedName name="HTML1_3" hidden="1">"P858 VF CPA Time Line"</definedName>
    <definedName name="HTML1_4" hidden="1">"Schedule"</definedName>
    <definedName name="HTML1_5" hidden="1">""</definedName>
    <definedName name="HTML1_6" hidden="1">1</definedName>
    <definedName name="HTML1_7" hidden="1">1</definedName>
    <definedName name="HTML1_8" hidden="1">"10/20/97"</definedName>
    <definedName name="HTML1_9" hidden="1">"Charlie Blake"</definedName>
    <definedName name="HTMLCount" hidden="1">1</definedName>
    <definedName name="htrhrsth" hidden="1">{#N/A,#N/A,TRUE,"Cover";#N/A,#N/A,TRUE,"Conts";#N/A,#N/A,TRUE,"VOS";#N/A,#N/A,TRUE,"Warrington";#N/A,#N/A,TRUE,"Widnes"}</definedName>
    <definedName name="htwing">#REF!</definedName>
    <definedName name="hu" hidden="1">{"'Break down'!$A$4"}</definedName>
    <definedName name="hutgfru" hidden="1">{#N/A,#N/A,TRUE,"Cover";#N/A,#N/A,TRUE,"Conts";#N/A,#N/A,TRUE,"VOS";#N/A,#N/A,TRUE,"Warrington";#N/A,#N/A,TRUE,"Widnes"}</definedName>
    <definedName name="hvacfi">#REF!</definedName>
    <definedName name="HVACFINAL">#REF!</definedName>
    <definedName name="HWCODE">#REF!</definedName>
    <definedName name="I" hidden="1">#REF!</definedName>
    <definedName name="i.d" hidden="1">{"'Break down'!$A$4"}</definedName>
    <definedName name="i8uiuyi" hidden="1">{#N/A,#N/A,TRUE,"Cover";#N/A,#N/A,TRUE,"Conts";#N/A,#N/A,TRUE,"VOS";#N/A,#N/A,TRUE,"Warrington";#N/A,#N/A,TRUE,"Widnes"}</definedName>
    <definedName name="IAM" hidden="1">{"'Sheet1'!$A$4386:$N$4591"}</definedName>
    <definedName name="IBL">#REF!</definedName>
    <definedName name="id" hidden="1">{"'Break down'!$A$4"}</definedName>
    <definedName name="idpvol">#REF!</definedName>
    <definedName name="IFP">#REF!</definedName>
    <definedName name="IFRS_Method">#REF!</definedName>
    <definedName name="IJ">#REF!</definedName>
    <definedName name="IK">#REF!</definedName>
    <definedName name="IM">#REF!</definedName>
    <definedName name="ImpactListNos">#REF!</definedName>
    <definedName name="imported">#REF!</definedName>
    <definedName name="IN_HOUSE_USAGE">#REF!</definedName>
    <definedName name="Included">#REF!</definedName>
    <definedName name="Indices">#REF!</definedName>
    <definedName name="Indirect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Induced1">#REF!</definedName>
    <definedName name="Induced2">#REF!</definedName>
    <definedName name="infl">#REF!</definedName>
    <definedName name="Inflation">#REF!</definedName>
    <definedName name="Infrastructure">#REF!</definedName>
    <definedName name="install_cost">#REF!</definedName>
    <definedName name="Insulation">#REF!</definedName>
    <definedName name="Insurance">#REF!</definedName>
    <definedName name="Int">#REF!</definedName>
    <definedName name="int_ext_sel">1</definedName>
    <definedName name="intdoors">#REF!</definedName>
    <definedName name="Interest">#N/A</definedName>
    <definedName name="Interest_Rate">#N/A</definedName>
    <definedName name="InterestAppraised">#REF!</definedName>
    <definedName name="intwalls">#REF!</definedName>
    <definedName name="inv_category_range">#REF!</definedName>
    <definedName name="inv_strategy_range">#REF!</definedName>
    <definedName name="INVOICE">#REF!</definedName>
    <definedName name="INVOICELIST">#REF!</definedName>
    <definedName name="io8yuou8y" hidden="1">{#N/A,#N/A,TRUE,"Cover";#N/A,#N/A,TRUE,"Conts";#N/A,#N/A,TRUE,"VOS";#N/A,#N/A,TRUE,"Warrington";#N/A,#N/A,TRUE,"Widnes"}</definedName>
    <definedName name="iol" hidden="1">{#N/A,#N/A,TRUE,"Cover";#N/A,#N/A,TRUE,"Conts";#N/A,#N/A,TRUE,"VOS";#N/A,#N/A,TRUE,"Warrington";#N/A,#N/A,TRUE,"Widnes"}</definedName>
    <definedName name="ioykyoyu" hidden="1">{#N/A,#N/A,TRUE,"Cover";#N/A,#N/A,TRUE,"Conts";#N/A,#N/A,TRUE,"VOS";#N/A,#N/A,TRUE,"Warrington";#N/A,#N/A,TRUE,"Widnes"}</definedName>
    <definedName name="IPCs">#REF!</definedName>
    <definedName name="ipsgsghsrhr">#REF!</definedName>
    <definedName name="Item">Data!$N$92</definedName>
    <definedName name="ItemColumn">Data!$N$92:$N$214</definedName>
    <definedName name="ItemList">Data!$Q$62:$Q$90</definedName>
    <definedName name="itn">#REF!</definedName>
    <definedName name="iui" hidden="1">{#N/A,#N/A,TRUE,"Cover";#N/A,#N/A,TRUE,"Conts";#N/A,#N/A,TRUE,"VOS";#N/A,#N/A,TRUE,"Warrington";#N/A,#N/A,TRUE,"Widnes"}</definedName>
    <definedName name="iuiou" hidden="1">{#N/A,#N/A,TRUE,"Cover";#N/A,#N/A,TRUE,"Conts";#N/A,#N/A,TRUE,"VOS";#N/A,#N/A,TRUE,"Warrington";#N/A,#N/A,TRUE,"Widnes"}</definedName>
    <definedName name="iuk" hidden="1">{#N/A,#N/A,TRUE,"Cover";#N/A,#N/A,TRUE,"Conts";#N/A,#N/A,TRUE,"VOS";#N/A,#N/A,TRUE,"Warrington";#N/A,#N/A,TRUE,"Widnes"}</definedName>
    <definedName name="iulouy" hidden="1">{#N/A,#N/A,TRUE,"Cover";#N/A,#N/A,TRUE,"Conts";#N/A,#N/A,TRUE,"VOS";#N/A,#N/A,TRUE,"Warrington";#N/A,#N/A,TRUE,"Widnes"}</definedName>
    <definedName name="ivrcl" hidden="1">{"'Sheet1'!$A$4386:$N$4591"}</definedName>
    <definedName name="J">#REF!</definedName>
    <definedName name="jba" hidden="1">{"'M'!$C$12:$D$12"}</definedName>
    <definedName name="jef">#REF!</definedName>
    <definedName name="jfjf">#N/A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IM">#REF!</definedName>
    <definedName name="jk.j.oi" hidden="1">{#N/A,#N/A,TRUE,"Cover";#N/A,#N/A,TRUE,"Conts";#N/A,#N/A,TRUE,"VOS";#N/A,#N/A,TRUE,"Warrington";#N/A,#N/A,TRUE,"Widnes"}</definedName>
    <definedName name="JKGKJHK" hidden="1">{#N/A,#N/A,TRUE,"Cover";#N/A,#N/A,TRUE,"Conts";#N/A,#N/A,TRUE,"VOS";#N/A,#N/A,TRUE,"Warrington";#N/A,#N/A,TRUE,"Widnes"}</definedName>
    <definedName name="jkl">#REF!</definedName>
    <definedName name="jkljljkl" hidden="1">{#N/A,#N/A,TRUE,"Cover";#N/A,#N/A,TRUE,"Conts";#N/A,#N/A,TRUE,"VOS";#N/A,#N/A,TRUE,"Warrington";#N/A,#N/A,TRUE,"Widnes"}</definedName>
    <definedName name="jktrujij" hidden="1">{#N/A,#N/A,TRUE,"Cover";#N/A,#N/A,TRUE,"Conts";#N/A,#N/A,TRUE,"VOS";#N/A,#N/A,TRUE,"Warrington";#N/A,#N/A,TRUE,"Widnes"}</definedName>
    <definedName name="jktukk" hidden="1">{#N/A,#N/A,TRUE,"Cover";#N/A,#N/A,TRUE,"Conts";#N/A,#N/A,TRUE,"VOS";#N/A,#N/A,TRUE,"Warrington";#N/A,#N/A,TRUE,"Widnes"}</definedName>
    <definedName name="jky" hidden="1">{#N/A,#N/A,TRUE,"Cover";#N/A,#N/A,TRUE,"Conts";#N/A,#N/A,TRUE,"VOS";#N/A,#N/A,TRUE,"Warrington";#N/A,#N/A,TRUE,"Widnes"}</definedName>
    <definedName name="jo" hidden="1">{"'Break down'!$A$4"}</definedName>
    <definedName name="job_number">"qs12257"</definedName>
    <definedName name="joy" hidden="1">{"'Break down'!$A$4"}</definedName>
    <definedName name="joyr" hidden="1">{"'Break down'!$A$4"}</definedName>
    <definedName name="jtyhjswjy" hidden="1">{#N/A,#N/A,TRUE,"Cover";#N/A,#N/A,TRUE,"Conts";#N/A,#N/A,TRUE,"VOS";#N/A,#N/A,TRUE,"Warrington";#N/A,#N/A,TRUE,"Widnes"}</definedName>
    <definedName name="K">#REF!</definedName>
    <definedName name="kasdfjhd" hidden="1">{"'Typical Costs Estimates'!$C$158:$H$161"}</definedName>
    <definedName name="KDJU" hidden="1">{"'장비'!$A$3:$M$12"}</definedName>
    <definedName name="KeyStatsData">#REF!</definedName>
    <definedName name="kFOB">#REF!</definedName>
    <definedName name="kgjfgjgj" hidden="1">{#N/A,#N/A,TRUE,"Cover";#N/A,#N/A,TRUE,"Conts";#N/A,#N/A,TRUE,"VOS";#N/A,#N/A,TRUE,"Warrington";#N/A,#N/A,TRUE,"Widnes"}</definedName>
    <definedName name="kIF">#REF!</definedName>
    <definedName name="KimmoSheet1">#REF!</definedName>
    <definedName name="KimmoSheet2">#REF!</definedName>
    <definedName name="Kitchen">#REF!</definedName>
    <definedName name="KitchenFans">#REF!</definedName>
    <definedName name="KJ" hidden="1">{"'Break down'!$A$4"}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" hidden="1">{"'Break down'!$A$4"}</definedName>
    <definedName name="KL">#REF!</definedName>
    <definedName name="kloc">#REF!</definedName>
    <definedName name="KO" hidden="1">{"'Break down'!$A$4"}</definedName>
    <definedName name="koko">#REF!</definedName>
    <definedName name="KPI_lookup">#REF!</definedName>
    <definedName name="KPI_match">#REF!</definedName>
    <definedName name="KRALIST">#REF!</definedName>
    <definedName name="Krise" hidden="1">#REF!</definedName>
    <definedName name="kryk" hidden="1">{#N/A,#N/A,TRUE,"Cover";#N/A,#N/A,TRUE,"Conts";#N/A,#N/A,TRUE,"VOS";#N/A,#N/A,TRUE,"Warrington";#N/A,#N/A,TRUE,"Widnes"}</definedName>
    <definedName name="ktf" hidden="1">#REF!</definedName>
    <definedName name="kty" hidden="1">#REF!</definedName>
    <definedName name="KurFarki">#REF!</definedName>
    <definedName name="KW">#REF!</definedName>
    <definedName name="KYSTH" hidden="1">{#N/A,#N/A,TRUE,"Cover";#N/A,#N/A,TRUE,"Conts";#N/A,#N/A,TRUE,"VOS";#N/A,#N/A,TRUE,"Warrington";#N/A,#N/A,TRUE,"Widnes"}</definedName>
    <definedName name="L">#REF!</definedName>
    <definedName name="L.H._Conn_Wt">#REF!</definedName>
    <definedName name="L_______EARTH_WORKS">#REF!</definedName>
    <definedName name="LA">#REF!</definedName>
    <definedName name="LAA">#REF!</definedName>
    <definedName name="lands">#REF!</definedName>
    <definedName name="Last_Row">#N/A</definedName>
    <definedName name="lavatory">#REF!</definedName>
    <definedName name="LC">#REF!</definedName>
    <definedName name="Lcant">#REF!</definedName>
    <definedName name="LCIn11">#REF!</definedName>
    <definedName name="LCIn12">#REF!</definedName>
    <definedName name="LCOut11">#REF!</definedName>
    <definedName name="LCOut12">#REF!</definedName>
    <definedName name="LeanConcrete">#REF!</definedName>
    <definedName name="leaseplan">#REF!</definedName>
    <definedName name="ledger" hidden="1">{"'Break down'!$A$4"}</definedName>
    <definedName name="LEDscreens">#REF!</definedName>
    <definedName name="length">#REF!</definedName>
    <definedName name="LER">#REF!</definedName>
    <definedName name="less_eq">#REF!</definedName>
    <definedName name="Lf">#REF!</definedName>
    <definedName name="lgoguliu" hidden="1">{#N/A,#N/A,TRUE,"Cover";#N/A,#N/A,TRUE,"Conts";#N/A,#N/A,TRUE,"VOS";#N/A,#N/A,TRUE,"Warrington";#N/A,#N/A,TRUE,"Widnes"}</definedName>
    <definedName name="li">#REF!</definedName>
    <definedName name="Lib">#REF!</definedName>
    <definedName name="lieu">#REF!</definedName>
    <definedName name="Lifecycle_Input">#REF!,#REF!,#REF!,#REF!,#REF!,#REF!,#REF!,#REF!,#REF!,#REF!,#REF!,#REF!,#REF!,#REF!,#REF!</definedName>
    <definedName name="LIFT">#REF!</definedName>
    <definedName name="light">#REF!</definedName>
    <definedName name="Lighting">#REF!</definedName>
    <definedName name="LIST1">#REF!</definedName>
    <definedName name="LIST1A">#REF!</definedName>
    <definedName name="LIST2">#REF!</definedName>
    <definedName name="LIST2A">#REF!</definedName>
    <definedName name="lk" hidden="1">{#N/A,#N/A,FALSE,"mgtsum.XLS";#N/A,#N/A,FALSE,"CAPONE";#N/A,#N/A,FALSE,"CAPTWO";#N/A,#N/A,FALSE,"CAPTHREE"}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>#REF!</definedName>
    <definedName name="LM_">#REF!</definedName>
    <definedName name="LOA">#REF!</definedName>
    <definedName name="Loan_A_margins">#REF!</definedName>
    <definedName name="Loan_amount">#REF!</definedName>
    <definedName name="Loan_Not_Paid">#N/A</definedName>
    <definedName name="Loan_Start">#N/A</definedName>
    <definedName name="Loan_Years">#N/A</definedName>
    <definedName name="Loans_Anchor">#REF!</definedName>
    <definedName name="Location">#REF!</definedName>
    <definedName name="LOT">#N/A</definedName>
    <definedName name="LowVoltage">#REF!</definedName>
    <definedName name="lp">#REF!</definedName>
    <definedName name="LQ">#REF!</definedName>
    <definedName name="LS_">#REF!</definedName>
    <definedName name="lth">#REF!</definedName>
    <definedName name="LTV">#REF!</definedName>
    <definedName name="Lv">Data!$C$80:$C$85</definedName>
    <definedName name="M">Data!$C$32:$C$35</definedName>
    <definedName name="m_acid">#REF!</definedName>
    <definedName name="Mac_Visitors">#REF!</definedName>
    <definedName name="Machinary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macid">#REF!</definedName>
    <definedName name="man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manpower_site">#REF!</definedName>
    <definedName name="manual_updates">#REF!</definedName>
    <definedName name="Marina" hidden="1">{"'Break down'!$A$4"}</definedName>
    <definedName name="markets">#REF!</definedName>
    <definedName name="markup">#REF!</definedName>
    <definedName name="Masdar">#REF!</definedName>
    <definedName name="MASTERLIST">#REF!</definedName>
    <definedName name="MaterialToBeCrushed">#REF!</definedName>
    <definedName name="MaterialToBeScreened">#REF!</definedName>
    <definedName name="matl">#REF!</definedName>
    <definedName name="matlsdim">#REF!</definedName>
    <definedName name="matlssds">#REF!</definedName>
    <definedName name="matlssewer">#REF!</definedName>
    <definedName name="maxmonth">OFFSET(#REF!,0,0,MATCH(#REF!,#REF!,0),1)</definedName>
    <definedName name="MC_">#REF!</definedName>
    <definedName name="mca" hidden="1">{"'Break down'!$A$4"}</definedName>
    <definedName name="MD">#REF!</definedName>
    <definedName name="MECH">#REF!</definedName>
    <definedName name="mech_boq">#REF!</definedName>
    <definedName name="Meeting">#REF!</definedName>
    <definedName name="mgt_cost_summary">#REF!</definedName>
    <definedName name="mha">#REF!</definedName>
    <definedName name="mhjj" hidden="1">{"'Bill No. 7'!$A$1:$G$32"}</definedName>
    <definedName name="mhsealant">#REF!</definedName>
    <definedName name="miki">#REF!</definedName>
    <definedName name="MIPS">#REF!</definedName>
    <definedName name="MIPS_INDEX">#REF!</definedName>
    <definedName name="MIPS_OUT">#REF!</definedName>
    <definedName name="Mix_Occ_Check">#REF!</definedName>
    <definedName name="MixOccCheck">#REF!</definedName>
    <definedName name="mk">#REF!</definedName>
    <definedName name="Mlist">#REF!</definedName>
    <definedName name="mmm" hidden="1">{"'Break down'!$A$4"}</definedName>
    <definedName name="mn">#REF!</definedName>
    <definedName name="model">#REF!</definedName>
    <definedName name="Month">#REF!</definedName>
    <definedName name="month_end">#REF!</definedName>
    <definedName name="month1">OFFSET(#REF!,0,0,COUNTA(#REF!),1)</definedName>
    <definedName name="monthly_changes">#REF!</definedName>
    <definedName name="Monthly_Payment">-PMT(Interest_Rate/12,Number_of_Payments,Loan_amount)</definedName>
    <definedName name="monthlyboilerU2">#REF!:!$T$130</definedName>
    <definedName name="MonthlyFlag">#REF!</definedName>
    <definedName name="Months">#REF!</definedName>
    <definedName name="MontlyPercentCompletion">#REF!</definedName>
    <definedName name="MOS">#REF!</definedName>
    <definedName name="mouli" hidden="1">{"'Sheet1'!$A$4386:$N$4591"}</definedName>
    <definedName name="mp_sen">#REF!</definedName>
    <definedName name="MPSC">#REF!</definedName>
    <definedName name="MthEnd">#REF!</definedName>
    <definedName name="MthNo">#REF!</definedName>
    <definedName name="MthNoInSemi">#REF!</definedName>
    <definedName name="MthSemiNo">#REF!</definedName>
    <definedName name="MthStart">#REF!</definedName>
    <definedName name="MthYearNo">#REF!</definedName>
    <definedName name="mtrlds">#REF!</definedName>
    <definedName name="mtrles">#REF!</definedName>
    <definedName name="mtrlss">#REF!</definedName>
    <definedName name="mtrltel">#REF!</definedName>
    <definedName name="mtrlwt">#REF!</definedName>
    <definedName name="mu_slex">#REF!</definedName>
    <definedName name="mule">#REF!</definedName>
    <definedName name="Multiplier">#REF!</definedName>
    <definedName name="Multiplier1">#REF!</definedName>
    <definedName name="mum">#REF!</definedName>
    <definedName name="mus">#REF!</definedName>
    <definedName name="MV">#REF!</definedName>
    <definedName name="my">#REF!</definedName>
    <definedName name="N">#REF!</definedName>
    <definedName name="Name">#REF!</definedName>
    <definedName name="nandan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nclient">#REF!</definedName>
    <definedName name="ncompier">#REF!</definedName>
    <definedName name="nddddddddf" hidden="1">{#N/A,#N/A,TRUE,"Cover";#N/A,#N/A,TRUE,"Conts";#N/A,#N/A,TRUE,"VOS";#N/A,#N/A,TRUE,"Warrington";#N/A,#N/A,TRUE,"Widnes"}</definedName>
    <definedName name="NDR">#REF!</definedName>
    <definedName name="net_cash">#REF!</definedName>
    <definedName name="new" hidden="1">{#N/A,#N/A,TRUE,"Equipment installation bm"}</definedName>
    <definedName name="NEWNAME" hidden="1">{#N/A,#N/A,FALSE,"CCTV"}</definedName>
    <definedName name="newsupply">#REF!</definedName>
    <definedName name="NEWT">#REF!</definedName>
    <definedName name="NGC">#REF!</definedName>
    <definedName name="NI_Original">#REF!</definedName>
    <definedName name="NIA">#REF!</definedName>
    <definedName name="nm" hidden="1">{"'Break down'!$A$4"}</definedName>
    <definedName name="nnnnn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0">#REF!</definedName>
    <definedName name="nolanes">#REF!</definedName>
    <definedName name="Npiers">#REF!</definedName>
    <definedName name="npile2">#REF!</definedName>
    <definedName name="npile3">#REF!</definedName>
    <definedName name="NPVDiscRate">#REF!</definedName>
    <definedName name="nrunits">#REF!</definedName>
    <definedName name="NSA">#REF!</definedName>
    <definedName name="Nspans">#REF!</definedName>
    <definedName name="Number_of_Payments">#N/A</definedName>
    <definedName name="nwe">#REF!</definedName>
    <definedName name="Nwebs">#REF!</definedName>
    <definedName name="o9u0piupi" hidden="1">{#N/A,#N/A,TRUE,"Cover";#N/A,#N/A,TRUE,"Conts";#N/A,#N/A,TRUE,"VOS";#N/A,#N/A,TRUE,"Warrington";#N/A,#N/A,TRUE,"Widnes"}</definedName>
    <definedName name="Occ_Rate_Tester">#REF!</definedName>
    <definedName name="occgraph">#REF!</definedName>
    <definedName name="OccRateTester">#REF!</definedName>
    <definedName name="occupancy">#REF!</definedName>
    <definedName name="OD">#REF!</definedName>
    <definedName name="ODH" hidden="1">#REF!</definedName>
    <definedName name="OFF">#REF!</definedName>
    <definedName name="OFFICE">#REF!</definedName>
    <definedName name="Office_CatB">#REF!</definedName>
    <definedName name="office_exp">#REF!</definedName>
    <definedName name="Office_fitout">#REF!</definedName>
    <definedName name="Office_Std">#REF!</definedName>
    <definedName name="Offices">#REF!</definedName>
    <definedName name="offset">1</definedName>
    <definedName name="og">#REF!</definedName>
    <definedName name="OH">#REF!</definedName>
    <definedName name="ohp">#REF!</definedName>
    <definedName name="Oil_and_Gas">#REF!</definedName>
    <definedName name="oip" hidden="1">{"'Break down'!$A$4"}</definedName>
    <definedName name="OK">#REF!</definedName>
    <definedName name="OL">#REF!</definedName>
    <definedName name="OMI">#REF!</definedName>
    <definedName name="OnC_perc_range">#REF!</definedName>
    <definedName name="one_K">#REF!</definedName>
    <definedName name="OO" hidden="1">{"'Sheet1'!$A$4386:$N$4591"}</definedName>
    <definedName name="OP">#REF!</definedName>
    <definedName name="OPC">#REF!</definedName>
    <definedName name="OpenDate">#REF!</definedName>
    <definedName name="Opex_g">#REF!</definedName>
    <definedName name="Opex_inc">#REF!</definedName>
    <definedName name="opex_multi">#REF!</definedName>
    <definedName name="opogd" hidden="1">{#N/A,#N/A,TRUE,"Cover";#N/A,#N/A,TRUE,"Conts";#N/A,#N/A,TRUE,"VOS";#N/A,#N/A,TRUE,"Warrington";#N/A,#N/A,TRUE,"Widnes"}</definedName>
    <definedName name="Ops_Input">#REF!,#REF!,#REF!,#REF!,#REF!,#REF!,#REF!,#REF!,#REF!,#REF!,#REF!,#REF!</definedName>
    <definedName name="Option">#REF!</definedName>
    <definedName name="Option1" hidden="1">#REF!</definedName>
    <definedName name="Original_Capex">#REF!</definedName>
    <definedName name="Other_Rated">#REF!</definedName>
    <definedName name="OVER0_START">#REF!</definedName>
    <definedName name="overseas">#REF!</definedName>
    <definedName name="P">Data!$C$50:$C$54</definedName>
    <definedName name="P_1">#REF!</definedName>
    <definedName name="P_10">#REF!</definedName>
    <definedName name="P_10A">#REF!</definedName>
    <definedName name="P_11">#REF!</definedName>
    <definedName name="P_12">#REF!</definedName>
    <definedName name="P_13">#REF!</definedName>
    <definedName name="P_14">#REF!</definedName>
    <definedName name="P_15">#REF!</definedName>
    <definedName name="P_16">#REF!</definedName>
    <definedName name="P_17">#REF!</definedName>
    <definedName name="P_18">#REF!</definedName>
    <definedName name="P_19">#REF!</definedName>
    <definedName name="P_2">#REF!</definedName>
    <definedName name="P_20">#REF!</definedName>
    <definedName name="P_21">#REF!</definedName>
    <definedName name="P_22">#REF!</definedName>
    <definedName name="P_23">#REF!</definedName>
    <definedName name="P_24">#REF!</definedName>
    <definedName name="P_25">#REF!</definedName>
    <definedName name="P_26">#REF!</definedName>
    <definedName name="P_3">#REF!</definedName>
    <definedName name="P_4">#REF!</definedName>
    <definedName name="P_5">#REF!</definedName>
    <definedName name="P_6">#REF!</definedName>
    <definedName name="P_7">#REF!</definedName>
    <definedName name="P_8">#REF!</definedName>
    <definedName name="P_9">#REF!</definedName>
    <definedName name="P_score">#REF!</definedName>
    <definedName name="p7y" hidden="1">{#N/A,#N/A,TRUE,"Cover";#N/A,#N/A,TRUE,"Conts";#N/A,#N/A,TRUE,"VOS";#N/A,#N/A,TRUE,"Warrington";#N/A,#N/A,TRUE,"Widnes"}</definedName>
    <definedName name="pack_name">#REF!</definedName>
    <definedName name="PackageName">#REF!</definedName>
    <definedName name="pafegseg" hidden="1">{#N/A,#N/A,TRUE,"Cover";#N/A,#N/A,TRUE,"Conts";#N/A,#N/A,TRUE,"VOS";#N/A,#N/A,TRUE,"Warrington";#N/A,#N/A,TRUE,"Widnes"}</definedName>
    <definedName name="PAGE_ENGR">#REF!</definedName>
    <definedName name="PAGE_SAFE">#REF!</definedName>
    <definedName name="PAGE1">#REF!</definedName>
    <definedName name="PAGE114">#REF!</definedName>
    <definedName name="PAGE115">#REF!</definedName>
    <definedName name="PAGE2">#REF!</definedName>
    <definedName name="PAGE2_TOP">#REF!</definedName>
    <definedName name="PAGE3">#REF!</definedName>
    <definedName name="PAGE31">#REF!</definedName>
    <definedName name="PAGE32">#REF!</definedName>
    <definedName name="PAGE33">#REF!</definedName>
    <definedName name="PAGE34">#REF!</definedName>
    <definedName name="PAGE35">#REF!</definedName>
    <definedName name="PAGE36">#REF!</definedName>
    <definedName name="PAGE4">#REF!</definedName>
    <definedName name="PAGE5">#REF!</definedName>
    <definedName name="PAGE5_21">#REF!</definedName>
    <definedName name="PAGE6">#REF!</definedName>
    <definedName name="PAGE81">#REF!</definedName>
    <definedName name="PAGE82">#REF!</definedName>
    <definedName name="PAGE83">#REF!</definedName>
    <definedName name="PAGE84">#REF!</definedName>
    <definedName name="PAGEA">#REF!</definedName>
    <definedName name="PAGEB">#REF!</definedName>
    <definedName name="PageCollElectrical">#REF!</definedName>
    <definedName name="PANELS">#REF!</definedName>
    <definedName name="part1">#REF!</definedName>
    <definedName name="part10">#REF!</definedName>
    <definedName name="part2">#REF!</definedName>
    <definedName name="part7">#REF!</definedName>
    <definedName name="part8">#REF!</definedName>
    <definedName name="part9">#REF!</definedName>
    <definedName name="Partition" hidden="1">#REF!</definedName>
    <definedName name="PAV">#REF!</definedName>
    <definedName name="PavementMarking">#REF!</definedName>
    <definedName name="Payment_Date">#N/A</definedName>
    <definedName name="Payment_Number">ROW()-Header_Row</definedName>
    <definedName name="PaymentType">#REF!</definedName>
    <definedName name="Paymenttype2">#REF!</definedName>
    <definedName name="PCforecastfinal">#REF!</definedName>
    <definedName name="PCOL">#REF!</definedName>
    <definedName name="PCT">#REF!</definedName>
    <definedName name="pdpdls" hidden="1">#REF!</definedName>
    <definedName name="pdvol">#REF!</definedName>
    <definedName name="perbox">#REF!</definedName>
    <definedName name="Percent_Depreciated">#REF!</definedName>
    <definedName name="performance">#REF!</definedName>
    <definedName name="periimported">#REF!</definedName>
    <definedName name="pete">#REF!</definedName>
    <definedName name="PF">#REF!</definedName>
    <definedName name="PFA">#REF!</definedName>
    <definedName name="PFARES">#REF!</definedName>
    <definedName name="PGLabt">#REF!</definedName>
    <definedName name="ph5a">#REF!</definedName>
    <definedName name="ph5b">#REF!</definedName>
    <definedName name="Physical_Depreciation">#REF!</definedName>
    <definedName name="Pi">Data!$C$67:$C$73</definedName>
    <definedName name="Pieces">#REF!</definedName>
    <definedName name="Pieces02">#REF!</definedName>
    <definedName name="pier2">#REF!</definedName>
    <definedName name="pierpiles">#REF!</definedName>
    <definedName name="piervol1">#REF!</definedName>
    <definedName name="piervol2">#REF!</definedName>
    <definedName name="piledia1">#REF!</definedName>
    <definedName name="piledia2">#REF!</definedName>
    <definedName name="piledia3">#REF!</definedName>
    <definedName name="Piletipele">#REF!</definedName>
    <definedName name="PILING">#REF!</definedName>
    <definedName name="PipeCulverts">#REF!</definedName>
    <definedName name="PipeMaterial">#REF!</definedName>
    <definedName name="pitches">#REF!</definedName>
    <definedName name="Pjt_List">#REF!</definedName>
    <definedName name="Pjt_Number">#REF!</definedName>
    <definedName name="PKAAA" hidden="1">#REF!</definedName>
    <definedName name="PKBB" hidden="1">#REF!</definedName>
    <definedName name="PKCC" hidden="1">#REF!</definedName>
    <definedName name="plant">#REF!</definedName>
    <definedName name="PLASTER">#REF!</definedName>
    <definedName name="PLFN">#REF!</definedName>
    <definedName name="PLJK" hidden="1">#REF!</definedName>
    <definedName name="PLone">#REF!</definedName>
    <definedName name="PLST">#REF!</definedName>
    <definedName name="PLtwo">#REF!</definedName>
    <definedName name="PO" hidden="1">{"'Break down'!$A$4"}</definedName>
    <definedName name="poc">#REF!</definedName>
    <definedName name="Pod">#REF!</definedName>
    <definedName name="pool">#REF!</definedName>
    <definedName name="POP">#REF!</definedName>
    <definedName name="POP0">#REF!</definedName>
    <definedName name="PP">Data!$E$17:$E$21</definedName>
    <definedName name="ppo" hidden="1">{"'Break down'!$A$4"}</definedName>
    <definedName name="ppppppppppppp" hidden="1">{#N/A,#N/A,TRUE,"Cover Memo";"Facility Estimate",#N/A,TRUE,"Change Summary";"Facility Estimate",#N/A,TRUE,"Estimate Summary";"Facility Estimate",#N/A,TRUE,"Dept. Summary";"Facility Estimate",#N/A,TRUE,"DOW Detail"}</definedName>
    <definedName name="PR_Food_Beverage">#REF!</definedName>
    <definedName name="PR_Gen_Administrative">#REF!</definedName>
    <definedName name="pratap" hidden="1">{"'Sheet1'!$A$4386:$N$4591"}</definedName>
    <definedName name="PRE">#REF!</definedName>
    <definedName name="PRECAST">#REF!</definedName>
    <definedName name="PRELIM">#REF!</definedName>
    <definedName name="prelims">#REF!</definedName>
    <definedName name="PRICELIST">#REF!</definedName>
    <definedName name="PrimeCoat">#REF!</definedName>
    <definedName name="Principal">-PPMT(Interest_Rate/12,Payment_Number,Number_of_Payments,Loan_amount)</definedName>
    <definedName name="PRINT">#REF!</definedName>
    <definedName name="_xlnm.Print_Area" localSheetId="1">'Pricing Sheet'!$A$1:$K$25</definedName>
    <definedName name="_xlnm.Print_Area">#REF!</definedName>
    <definedName name="Print_Area_et">#REF!</definedName>
    <definedName name="PRINT_AREA_MI">#REF!</definedName>
    <definedName name="print_chart">#REF!</definedName>
    <definedName name="Print_Checklist">#REF!</definedName>
    <definedName name="Print_Cover">#REF!</definedName>
    <definedName name="PRINT_ENGR">#REF!</definedName>
    <definedName name="print_input">#REF!</definedName>
    <definedName name="Print_ITR">#REF!</definedName>
    <definedName name="Print_Sect10">#REF!</definedName>
    <definedName name="Print_Sect2">#REF!</definedName>
    <definedName name="Print_Settlement">#REF!</definedName>
    <definedName name="_xlnm.Print_Titles" localSheetId="1">'Pricing Sheet'!$1:$1</definedName>
    <definedName name="_xlnm.Print_Titles">#N/A</definedName>
    <definedName name="Print_Titles_MI">#REF!</definedName>
    <definedName name="Print_TRA">#REF!</definedName>
    <definedName name="Print_V1">#REF!</definedName>
    <definedName name="Print_V2">#REF!</definedName>
    <definedName name="PrintKeyStatistics">#REF!</definedName>
    <definedName name="Pro">#REF!</definedName>
    <definedName name="Proc_Form">#REF!</definedName>
    <definedName name="PROCESS_ACT">#REF!</definedName>
    <definedName name="PROCESS_PLAN">#REF!</definedName>
    <definedName name="Prog_plan_cum">#REF!</definedName>
    <definedName name="PROGDATE">#REF!</definedName>
    <definedName name="progress_summary">#REF!</definedName>
    <definedName name="Proj_Name">#REF!</definedName>
    <definedName name="projcum">#REF!</definedName>
    <definedName name="projcum1">OFFSET(#REF!,0,0,COUNTA(#REF!),1)</definedName>
    <definedName name="ProjDay">#REF!</definedName>
    <definedName name="project">#REF!</definedName>
    <definedName name="Project_Code">#REF!</definedName>
    <definedName name="PROJECT_Description">#REF!</definedName>
    <definedName name="PROJECT_Description1">#REF!</definedName>
    <definedName name="PROJECT_Description2">#REF!</definedName>
    <definedName name="Project_Name">#REF!</definedName>
    <definedName name="Project_Term">#REF!</definedName>
    <definedName name="Project_zones">#REF!</definedName>
    <definedName name="projections">#REF!</definedName>
    <definedName name="Projects">#REF!</definedName>
    <definedName name="PROJLOC">#REF!</definedName>
    <definedName name="ProjLocation">#REF!</definedName>
    <definedName name="ProjMonth">#REF!</definedName>
    <definedName name="projmonthly">#REF!</definedName>
    <definedName name="projmonthly1">OFFSET(#REF!,0,0,COUNTA(#REF!),1)</definedName>
    <definedName name="projmonthmax">OFFSET(#REF!,0,0,MATCH(#REF!,#REF!,0),1)</definedName>
    <definedName name="PROJNAME">#REF!</definedName>
    <definedName name="projsupply">#REF!</definedName>
    <definedName name="ProjYear">#REF!</definedName>
    <definedName name="Proname">#REF!</definedName>
    <definedName name="Property_Name">#REF!</definedName>
    <definedName name="Propsiteanalysis">#REF!</definedName>
    <definedName name="PropStat">#REF!</definedName>
    <definedName name="provadd">#REF!</definedName>
    <definedName name="Provforecastfinal">#REF!</definedName>
    <definedName name="provomit">#REF!</definedName>
    <definedName name="psi_this_month">#REF!</definedName>
    <definedName name="pswyry" hidden="1">{#N/A,#N/A,TRUE,"Cover";#N/A,#N/A,TRUE,"Conts";#N/A,#N/A,TRUE,"VOS";#N/A,#N/A,TRUE,"Warrington";#N/A,#N/A,TRUE,"Widnes"}</definedName>
    <definedName name="PTT">#REF!</definedName>
    <definedName name="PTTA">#REF!</definedName>
    <definedName name="PVatTotIRR">#REF!</definedName>
    <definedName name="Q">#REF!</definedName>
    <definedName name="Q_START">#REF!</definedName>
    <definedName name="Q1_Opex">#REF!</definedName>
    <definedName name="Q2_Opex">#REF!</definedName>
    <definedName name="Q3_Opex">#REF!</definedName>
    <definedName name="q3tqtq" hidden="1">{#N/A,#N/A,TRUE,"Cover";#N/A,#N/A,TRUE,"Conts";#N/A,#N/A,TRUE,"VOS";#N/A,#N/A,TRUE,"Warrington";#N/A,#N/A,TRUE,"Widnes"}</definedName>
    <definedName name="Q4_Opex">#REF!</definedName>
    <definedName name="q5ttyr" hidden="1">{#N/A,#N/A,TRUE,"Cover";#N/A,#N/A,TRUE,"Conts";#N/A,#N/A,TRUE,"VOS";#N/A,#N/A,TRUE,"Warrington";#N/A,#N/A,TRUE,"Widnes"}</definedName>
    <definedName name="QA">#REF!</definedName>
    <definedName name="qap" hidden="1">{"'Typical Costs Estimates'!$C$158:$H$161"}</definedName>
    <definedName name="QD">#REF!</definedName>
    <definedName name="QF">#REF!</definedName>
    <definedName name="QI">#REF!</definedName>
    <definedName name="qqq" hidden="1">{#N/A,#N/A,TRUE,"Cover";#N/A,#N/A,TRUE,"Conts";#N/A,#N/A,TRUE,"VOS";#N/A,#N/A,TRUE,"Warrington";#N/A,#N/A,TRUE,"Widnes"}</definedName>
    <definedName name="QR">#REF!</definedName>
    <definedName name="QR.">#REF!</definedName>
    <definedName name="qrt" hidden="1">{#N/A,#N/A,TRUE,"Cover";#N/A,#N/A,TRUE,"Conts";#N/A,#N/A,TRUE,"VOS";#N/A,#N/A,TRUE,"Warrington";#N/A,#N/A,TRUE,"Widnes"}</definedName>
    <definedName name="QS">#REF!</definedName>
    <definedName name="QT">#REF!</definedName>
    <definedName name="qttyry" hidden="1">{#N/A,#N/A,TRUE,"Cover";#N/A,#N/A,TRUE,"Conts";#N/A,#N/A,TRUE,"VOS";#N/A,#N/A,TRUE,"Warrington";#N/A,#N/A,TRUE,"Widnes"}</definedName>
    <definedName name="Qty.">#REF!</definedName>
    <definedName name="qtyhytrh" hidden="1">{#N/A,#N/A,TRUE,"Cover";#N/A,#N/A,TRUE,"Conts";#N/A,#N/A,TRUE,"VOS";#N/A,#N/A,TRUE,"Warrington";#N/A,#N/A,TRUE,"Widnes"}</definedName>
    <definedName name="qtyu" hidden="1">{#N/A,#N/A,TRUE,"Cover";#N/A,#N/A,TRUE,"Conts";#N/A,#N/A,TRUE,"VOS";#N/A,#N/A,TRUE,"Warrington";#N/A,#N/A,TRUE,"Widnes"}</definedName>
    <definedName name="qtyyut" hidden="1">{#N/A,#N/A,TRUE,"Cover";#N/A,#N/A,TRUE,"Conts";#N/A,#N/A,TRUE,"VOS";#N/A,#N/A,TRUE,"Warrington";#N/A,#N/A,TRUE,"Widnes"}</definedName>
    <definedName name="qtyyyhh" hidden="1">{#N/A,#N/A,TRUE,"Cover";#N/A,#N/A,TRUE,"Conts";#N/A,#N/A,TRUE,"VOS";#N/A,#N/A,TRUE,"Warrington";#N/A,#N/A,TRUE,"Widnes"}</definedName>
    <definedName name="Quantity">#REF!</definedName>
    <definedName name="questions">#REF!</definedName>
    <definedName name="qury" hidden="1">{"'Break down'!$A$4"}</definedName>
    <definedName name="qw">#REF!</definedName>
    <definedName name="QWE">#REF!</definedName>
    <definedName name="qwerwerwrr" hidden="1">{#N/A,#N/A,FALSE,"Clients Office";#N/A,#N/A,FALSE,"Co Sum"}</definedName>
    <definedName name="QY">#REF!</definedName>
    <definedName name="R.C.C___SUB_STRUCTURE">#REF!</definedName>
    <definedName name="R.C.C___SUPER_STRUCTURE">#REF!</definedName>
    <definedName name="R.H._Conn_Wt">#REF!</definedName>
    <definedName name="RA">#REF!</definedName>
    <definedName name="raaa" hidden="1">{"'Sheet1'!$A$4386:$N$4591"}</definedName>
    <definedName name="Race">#REF!</definedName>
    <definedName name="railway" hidden="1">{"'Sheet1'!$A$4386:$N$4591"}</definedName>
    <definedName name="raj">#REF!</definedName>
    <definedName name="RAJESH">#REF!</definedName>
    <definedName name="Raman">#REF!</definedName>
    <definedName name="RANGE">#REF!</definedName>
    <definedName name="RAPS">#REF!</definedName>
    <definedName name="rasgg" hidden="1">{#N/A,#N/A,TRUE,"Cover";#N/A,#N/A,TRUE,"Conts";#N/A,#N/A,TRUE,"VOS";#N/A,#N/A,TRUE,"Warrington";#N/A,#N/A,TRUE,"Widnes"}</definedName>
    <definedName name="Rate">#REF!</definedName>
    <definedName name="ratio">#REF!</definedName>
    <definedName name="raw_data">#REF!</definedName>
    <definedName name="RB7.4" hidden="1">#REF!</definedName>
    <definedName name="RC_">#REF!</definedName>
    <definedName name="RCD">#REF!</definedName>
    <definedName name="RCE">OFFSET(#REF!,1,0,COUNTA(#REF!)-(#REF!+2))</definedName>
    <definedName name="RCP">#REF!</definedName>
    <definedName name="RCS">#REF!</definedName>
    <definedName name="rdegsegrg" hidden="1">{#N/A,#N/A,TRUE,"Cover";#N/A,#N/A,TRUE,"Conts";#N/A,#N/A,TRUE,"VOS";#N/A,#N/A,TRUE,"Warrington";#N/A,#N/A,TRUE,"Widnes"}</definedName>
    <definedName name="Re">#N/A</definedName>
    <definedName name="Real_Estate">#REF!</definedName>
    <definedName name="realestate">#REF!</definedName>
    <definedName name="rebar">#REF!</definedName>
    <definedName name="Recom" hidden="1">{"'Break down'!$A$4"}</definedName>
    <definedName name="RecomFacilities">#REF!</definedName>
    <definedName name="Reconciliation">#N/A</definedName>
    <definedName name="_xlnm.Recorder">#REF!</definedName>
    <definedName name="recov_projects">#REF!</definedName>
    <definedName name="Recoverable_range">#REF!</definedName>
    <definedName name="redgreenqa">#REF!</definedName>
    <definedName name="ref" hidden="1">{"'Break down'!$A$4"}</definedName>
    <definedName name="REFRESH">#REF!</definedName>
    <definedName name="Region_range">#REF!</definedName>
    <definedName name="Regional" hidden="1">{#N/A,#N/A,FALSE,"mgtsum.XLS";#N/A,#N/A,FALSE,"CAPONE";#N/A,#N/A,FALSE,"CAPTWO";#N/A,#N/A,FALSE,"CAPTHREE"}</definedName>
    <definedName name="regional1" hidden="1">{#N/A,#N/A,FALSE,"mgtsum.XLS";#N/A,#N/A,FALSE,"CAPONE";#N/A,#N/A,FALSE,"CAPTWO";#N/A,#N/A,FALSE,"CAPTHREE"}</definedName>
    <definedName name="ReinforcementSteel">#REF!</definedName>
    <definedName name="REN" hidden="1">{"'Break down'!$A$4"}</definedName>
    <definedName name="repairs">#REF!</definedName>
    <definedName name="ReplaceObj">#REF!</definedName>
    <definedName name="report">#REF!</definedName>
    <definedName name="reportno">#REF!</definedName>
    <definedName name="Rept_Date">#REF!</definedName>
    <definedName name="requi">#REF!</definedName>
    <definedName name="rer" hidden="1">{#N/A,#N/A,TRUE,"Cover";#N/A,#N/A,TRUE,"Conts";#N/A,#N/A,TRUE,"VOS";#N/A,#N/A,TRUE,"Warrington";#N/A,#N/A,TRUE,"Widnes"}</definedName>
    <definedName name="RES">#REF!</definedName>
    <definedName name="resi">#REF!</definedName>
    <definedName name="residential">#REF!</definedName>
    <definedName name="results">#REF!</definedName>
    <definedName name="Retail_type">#REF!</definedName>
    <definedName name="RETEN">#REF!</definedName>
    <definedName name="Retention_percentage1">#REF!</definedName>
    <definedName name="Retention_period1">#REF!</definedName>
    <definedName name="reuse" hidden="1">{#N/A,#N/A,FALSE,"mgtsum.XLS";#N/A,#N/A,FALSE,"CAPONE";#N/A,#N/A,FALSE,"CAPTWO";#N/A,#N/A,FALSE,"CAPTHREE"}</definedName>
    <definedName name="Review">#REF!</definedName>
    <definedName name="REVIEWBy">#REF!</definedName>
    <definedName name="RF">#REF!</definedName>
    <definedName name="RFCList">#REF!</definedName>
    <definedName name="RG">#REF!</definedName>
    <definedName name="rghhythy" hidden="1">{#N/A,#N/A,TRUE,"Cover";#N/A,#N/A,TRUE,"Conts";#N/A,#N/A,TRUE,"VOS";#N/A,#N/A,TRUE,"Warrington";#N/A,#N/A,TRUE,"Widnes"}</definedName>
    <definedName name="RHODIA" hidden="1">{"'DocTypeCode'!$A$142:$A$226"}</definedName>
    <definedName name="rhyuyi" hidden="1">{#N/A,#N/A,TRUE,"Cover";#N/A,#N/A,TRUE,"Conts";#N/A,#N/A,TRUE,"VOS";#N/A,#N/A,TRUE,"Warrington";#N/A,#N/A,TRUE,"Widnes"}</definedName>
    <definedName name="RIBA_stages">#REF!</definedName>
    <definedName name="RID">#REF!</definedName>
    <definedName name="risk">#REF!</definedName>
    <definedName name="RiskAfterRecalcMacro" hidden="1">""</definedName>
    <definedName name="RiskAfterSimMacro" hidden="1">""</definedName>
    <definedName name="RiskAutoStopPercChange">1.5</definedName>
    <definedName name="RiskBeforeRecalcMacro" hidden="1">""</definedName>
    <definedName name="RiskBeforeSimMacro" hidden="1">""</definedName>
    <definedName name="RiskCollectDistributionSamples">2</definedName>
    <definedName name="RiskExcelReportsGoInNewWorkbook">TRUE</definedName>
    <definedName name="RiskExcelReportsToGenerate">0</definedName>
    <definedName name="RiskFixedSeed">1</definedName>
    <definedName name="RiskGenerateExcelReportsAtEndOfSimulation">FALSE</definedName>
    <definedName name="RiskHasSettings">TRUE</definedName>
    <definedName name="RiskLevel">#REF!</definedName>
    <definedName name="RiskMinimizeOnStart">FALSE</definedName>
    <definedName name="RiskMonitorConvergence">TRUE</definedName>
    <definedName name="RiskMultipleCPUSupportEnabled" hidden="1">TRUE</definedName>
    <definedName name="RiskNumIterations">10000</definedName>
    <definedName name="RiskNumSimulations">1</definedName>
    <definedName name="RiskPauseOnError">FALSE</definedName>
    <definedName name="RiskRankMatrix2">#REF!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0</definedName>
    <definedName name="RiskStatFunctionsUpdateFreq">1</definedName>
    <definedName name="RiskTemplateSheetName">"myTemplate"</definedName>
    <definedName name="RiskUpdateDisplay">TRUE</definedName>
    <definedName name="RiskUpdateStatFunctions">TRUE</definedName>
    <definedName name="RiskUseDifferentSeedForEachSim">FALSE</definedName>
    <definedName name="RiskUseFixedSeed">FALSE</definedName>
    <definedName name="RiskUseMultipleCPUs" hidden="1">TRUE</definedName>
    <definedName name="RL">#REF!</definedName>
    <definedName name="rlp">#REF!</definedName>
    <definedName name="RLPS">#REF!</definedName>
    <definedName name="RMC">#N/A</definedName>
    <definedName name="RME">OFFSET(#REF!,1,0,COUNTA(#REF!)-(#REF!+2))</definedName>
    <definedName name="RND">#REF!</definedName>
    <definedName name="ro">#REF!</definedName>
    <definedName name="ROI">#REF!</definedName>
    <definedName name="ROOF">#REF!</definedName>
    <definedName name="Roof_Water_proofing">#REF!</definedName>
    <definedName name="rou" hidden="1">{"'Break down'!$A$4"}</definedName>
    <definedName name="ROW_ENGR">#REF!</definedName>
    <definedName name="rpppp" hidden="1">{"'Break down'!$A$4"}</definedName>
    <definedName name="rr" hidden="1">{"'Break down'!$A$4"}</definedName>
    <definedName name="RRR" hidden="1">#REF!</definedName>
    <definedName name="rrrr" hidden="1">{#N/A,#N/A,TRUE,"Cover";#N/A,#N/A,TRUE,"Conts";#N/A,#N/A,TRUE,"VOS";#N/A,#N/A,TRUE,"Warrington";#N/A,#N/A,TRUE,"Widnes"}</definedName>
    <definedName name="rrrrr" hidden="1">{#N/A,#N/A,TRUE,"Cover";#N/A,#N/A,TRUE,"Conts";#N/A,#N/A,TRUE,"VOS";#N/A,#N/A,TRUE,"Warrington";#N/A,#N/A,TRUE,"Widnes"}</definedName>
    <definedName name="rrrrrrr" hidden="1">{#N/A,#N/A,TRUE,"Cover";#N/A,#N/A,TRUE,"Conts";#N/A,#N/A,TRUE,"VOS";#N/A,#N/A,TRUE,"Warrington";#N/A,#N/A,TRUE,"Widnes"}</definedName>
    <definedName name="rrrrrrrrrr" hidden="1">{#N/A,#N/A,TRUE,"Cover";#N/A,#N/A,TRUE,"Conts";#N/A,#N/A,TRUE,"VOS";#N/A,#N/A,TRUE,"Warrington";#N/A,#N/A,TRUE,"Widnes"}</definedName>
    <definedName name="rrttt" hidden="1">{#N/A,#N/A,TRUE,"Cover";#N/A,#N/A,TRUE,"Conts";#N/A,#N/A,TRUE,"VOS";#N/A,#N/A,TRUE,"Warrington";#N/A,#N/A,TRUE,"Widnes"}</definedName>
    <definedName name="rt" hidden="1">{"'Break down'!$A$4"}</definedName>
    <definedName name="rthsrhs" hidden="1">{#N/A,#N/A,TRUE,"Cover";#N/A,#N/A,TRUE,"Conts";#N/A,#N/A,TRUE,"VOS";#N/A,#N/A,TRUE,"Warrington";#N/A,#N/A,TRUE,"Widnes"}</definedName>
    <definedName name="rtp" hidden="1">{"'Break down'!$A$4"}</definedName>
    <definedName name="rtpqwp" hidden="1">{"'Break down'!$A$4"}</definedName>
    <definedName name="RTRGJHJ" hidden="1">{#N/A,#N/A,TRUE,"Cover";#N/A,#N/A,TRUE,"Conts";#N/A,#N/A,TRUE,"VOS";#N/A,#N/A,TRUE,"Warrington";#N/A,#N/A,TRUE,"Widnes"}</definedName>
    <definedName name="rtryj" hidden="1">{#N/A,#N/A,TRUE,"Cover";#N/A,#N/A,TRUE,"Conts";#N/A,#N/A,TRUE,"VOS";#N/A,#N/A,TRUE,"Warrington";#N/A,#N/A,TRUE,"Widnes"}</definedName>
    <definedName name="rturudu" hidden="1">{#N/A,#N/A,TRUE,"Cover";#N/A,#N/A,TRUE,"Conts";#N/A,#N/A,TRUE,"VOS";#N/A,#N/A,TRUE,"Warrington";#N/A,#N/A,TRUE,"Widnes"}</definedName>
    <definedName name="RTYE" hidden="1">{"'장비'!$A$3:$M$12"}</definedName>
    <definedName name="rtysh" hidden="1">{#N/A,#N/A,TRUE,"Cover";#N/A,#N/A,TRUE,"Conts";#N/A,#N/A,TRUE,"VOS";#N/A,#N/A,TRUE,"Warrington";#N/A,#N/A,TRUE,"Widnes"}</definedName>
    <definedName name="RUT">#REF!</definedName>
    <definedName name="RWF" hidden="1">{"'Sheet1'!$A$4386:$N$4591"}</definedName>
    <definedName name="rwt" hidden="1">{#N/A,#N/A,TRUE,"Cover";#N/A,#N/A,TRUE,"Conts";#N/A,#N/A,TRUE,"VOS";#N/A,#N/A,TRUE,"Warrington";#N/A,#N/A,TRUE,"Widnes"}</definedName>
    <definedName name="ryeru" hidden="1">{#N/A,#N/A,TRUE,"Cover";#N/A,#N/A,TRUE,"Conts";#N/A,#N/A,TRUE,"VOS";#N/A,#N/A,TRUE,"Warrington";#N/A,#N/A,TRUE,"Widnes"}</definedName>
    <definedName name="ryjujkg" hidden="1">{"'Break down'!$A$4"}</definedName>
    <definedName name="rysrtryftry" hidden="1">{#N/A,#N/A,TRUE,"Cover";#N/A,#N/A,TRUE,"Conts";#N/A,#N/A,TRUE,"VOS";#N/A,#N/A,TRUE,"Warrington";#N/A,#N/A,TRUE,"Widnes"}</definedName>
    <definedName name="S">Data!$C$2:$C$20</definedName>
    <definedName name="S_score">#REF!</definedName>
    <definedName name="s1_">#REF!</definedName>
    <definedName name="s2_">#REF!</definedName>
    <definedName name="sadsa">#REF!</definedName>
    <definedName name="SAFETY_CHART">#REF!</definedName>
    <definedName name="SAFETY_LTADESC">#REF!</definedName>
    <definedName name="SAFETY_PRINT">#REF!</definedName>
    <definedName name="SAFETY_STAFFING">#REF!</definedName>
    <definedName name="SAFETY_TITLES">#REF!</definedName>
    <definedName name="SAFETY_UPDATE">#REF!</definedName>
    <definedName name="SAFETY_UPDATE1">#REF!</definedName>
    <definedName name="SAFTEY_STATS">#REF!</definedName>
    <definedName name="sam">#REF!</definedName>
    <definedName name="SAN">#REF!</definedName>
    <definedName name="sand_p">#REF!</definedName>
    <definedName name="sand_t">#REF!</definedName>
    <definedName name="sanitary">#REF!</definedName>
    <definedName name="sarea1">#REF!</definedName>
    <definedName name="SBBC">#REF!</definedName>
    <definedName name="SBUs">#REF!</definedName>
    <definedName name="SCAF" hidden="1">{"'Break down'!$A$4"}</definedName>
    <definedName name="Scaffolding" hidden="1">{"'Break down'!$A$4"}</definedName>
    <definedName name="scarce" hidden="1">{#N/A,#N/A,FALSE,"Summary";#N/A,#N/A,FALSE,"3TJ";#N/A,#N/A,FALSE,"3TN";#N/A,#N/A,FALSE,"3TP";#N/A,#N/A,FALSE,"3SJ";#N/A,#N/A,FALSE,"3CJ";#N/A,#N/A,FALSE,"3CN";#N/A,#N/A,FALSE,"3CP";#N/A,#N/A,FALSE,"3A"}</definedName>
    <definedName name="SCHED">#REF!</definedName>
    <definedName name="score">#REF!</definedName>
    <definedName name="SCORE_START">#REF!</definedName>
    <definedName name="score_this_period">#REF!</definedName>
    <definedName name="Screed_Flooring">#REF!</definedName>
    <definedName name="SculptingMethod">#REF!</definedName>
    <definedName name="SCURVE" hidden="1">#REF!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 hidden="1">#REF!</definedName>
    <definedName name="sdef" hidden="1">#REF!</definedName>
    <definedName name="sdefegdeg" hidden="1">{#N/A,#N/A,TRUE,"Cover";#N/A,#N/A,TRUE,"Conts";#N/A,#N/A,TRUE,"VOS";#N/A,#N/A,TRUE,"Warrington";#N/A,#N/A,TRUE,"Widnes"}</definedName>
    <definedName name="sdf" hidden="1">{#N/A,#N/A,FALSE,"mgtsum.XLS";#N/A,#N/A,FALSE,"CAPONE";#N/A,#N/A,FALSE,"CAPTWO";#N/A,#N/A,FALSE,"CAPTHREE"}</definedName>
    <definedName name="sdfgsg">#REF!</definedName>
    <definedName name="sdhydfyftuu" hidden="1">{#N/A,#N/A,TRUE,"Cover";#N/A,#N/A,TRUE,"Conts";#N/A,#N/A,TRUE,"VOS";#N/A,#N/A,TRUE,"Warrington";#N/A,#N/A,TRUE,"Widnes"}</definedName>
    <definedName name="se" hidden="1">#REF!</definedName>
    <definedName name="sealant">#REF!</definedName>
    <definedName name="SEAT">#REF!</definedName>
    <definedName name="SECT1">#REF!</definedName>
    <definedName name="SECT3">#REF!</definedName>
    <definedName name="SECT4">#REF!</definedName>
    <definedName name="section1">#REF!</definedName>
    <definedName name="section10">#REF!</definedName>
    <definedName name="SECTION11">#REF!</definedName>
    <definedName name="section2">#REF!</definedName>
    <definedName name="section3">#REF!</definedName>
    <definedName name="section4">#REF!</definedName>
    <definedName name="section5">#REF!</definedName>
    <definedName name="section6a">#REF!</definedName>
    <definedName name="section6b">#REF!</definedName>
    <definedName name="section7a">#REF!</definedName>
    <definedName name="SECTION7B">#REF!</definedName>
    <definedName name="section7basic">#REF!</definedName>
    <definedName name="SECTION7C">#REF!</definedName>
    <definedName name="section8">#REF!</definedName>
    <definedName name="section9">#REF!</definedName>
    <definedName name="Sector">#REF!</definedName>
    <definedName name="Sector_lookup">#REF!</definedName>
    <definedName name="Sector_range">#REF!</definedName>
    <definedName name="Segment1">#REF!</definedName>
    <definedName name="Segment2">#REF!</definedName>
    <definedName name="Segment3">#REF!</definedName>
    <definedName name="Segment4">#REF!</definedName>
    <definedName name="Segment5">#REF!</definedName>
    <definedName name="sek">#REF!</definedName>
    <definedName name="SemiCount">#REF!</definedName>
    <definedName name="ser" hidden="1">{"'Break down'!$A$4"}</definedName>
    <definedName name="Serendra" hidden="1">#REF!</definedName>
    <definedName name="sergtfS\">#REF!</definedName>
    <definedName name="services">#REF!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tdydy" hidden="1">{#N/A,#N/A,TRUE,"Cover";#N/A,#N/A,TRUE,"Conts";#N/A,#N/A,TRUE,"VOS";#N/A,#N/A,TRUE,"Warrington";#N/A,#N/A,TRUE,"Widnes"}</definedName>
    <definedName name="sewer">#REF!</definedName>
    <definedName name="sfbjdf" hidden="1">#REF!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hdfj" hidden="1">{#N/A,#N/A,TRUE,"Cover";#N/A,#N/A,TRUE,"Conts";#N/A,#N/A,TRUE,"VOS";#N/A,#N/A,TRUE,"Warrington";#N/A,#N/A,TRUE,"Widnes"}</definedName>
    <definedName name="sfr">#REF!</definedName>
    <definedName name="SFSAF">#REF!</definedName>
    <definedName name="sg">#REF!</definedName>
    <definedName name="sgsegegrt" hidden="1">{#N/A,#N/A,TRUE,"Cover";#N/A,#N/A,TRUE,"Conts";#N/A,#N/A,TRUE,"VOS";#N/A,#N/A,TRUE,"Warrington";#N/A,#N/A,TRUE,"Widnes"}</definedName>
    <definedName name="sgsghju" hidden="1">{#N/A,#N/A,TRUE,"Cover";#N/A,#N/A,TRUE,"Conts";#N/A,#N/A,TRUE,"VOS";#N/A,#N/A,TRUE,"Warrington";#N/A,#N/A,TRUE,"Widnes"}</definedName>
    <definedName name="sgsgr" hidden="1">{#N/A,#N/A,TRUE,"Cover";#N/A,#N/A,TRUE,"Conts";#N/A,#N/A,TRUE,"VOS";#N/A,#N/A,TRUE,"Warrington";#N/A,#N/A,TRUE,"Widnes"}</definedName>
    <definedName name="sh" hidden="1">{"'Bill No. 7'!$A$1:$G$32"}</definedName>
    <definedName name="sheet" hidden="1">{#N/A,#N/A,TRUE,"Cover";#N/A,#N/A,TRUE,"Conts";#N/A,#N/A,TRUE,"VOS";#N/A,#N/A,TRUE,"Warrington";#N/A,#N/A,TRUE,"Widnes"}</definedName>
    <definedName name="SHEET1">#REF!</definedName>
    <definedName name="Shell_fit">#REF!</definedName>
    <definedName name="ShoulderEmb.">#REF!</definedName>
    <definedName name="ShoulderSubbase">#REF!</definedName>
    <definedName name="shshgtr" hidden="1">{#N/A,#N/A,TRUE,"Cover";#N/A,#N/A,TRUE,"Conts";#N/A,#N/A,TRUE,"VOS";#N/A,#N/A,TRUE,"Warrington";#N/A,#N/A,TRUE,"Widnes"}</definedName>
    <definedName name="sidewalk">#REF!</definedName>
    <definedName name="SIGN">#REF!</definedName>
    <definedName name="site">#REF!</definedName>
    <definedName name="six_monthly_revenue">#REF!</definedName>
    <definedName name="SIXYRS_OF_PROJ">#REF!</definedName>
    <definedName name="size">#REF!</definedName>
    <definedName name="SJ">#REF!</definedName>
    <definedName name="Skew">#REF!</definedName>
    <definedName name="Skopje_Demand">#REF!</definedName>
    <definedName name="Skopje_SandD">#REF!</definedName>
    <definedName name="Skopje_Visitors">#REF!</definedName>
    <definedName name="slab">#REF!</definedName>
    <definedName name="sland">#REF!</definedName>
    <definedName name="Slist">#REF!</definedName>
    <definedName name="SM_">#REF!</definedName>
    <definedName name="small_cost_summary">#REF!</definedName>
    <definedName name="Smoke">#REF!</definedName>
    <definedName name="SmokeFans">#REF!</definedName>
    <definedName name="soffitl">#REF!</definedName>
    <definedName name="solver_adj" hidden="1">#REF!,#REF!</definedName>
    <definedName name="solver_lin" hidden="1">0</definedName>
    <definedName name="solver_num" hidden="1">0</definedName>
    <definedName name="solver_rel10" hidden="1">2</definedName>
    <definedName name="solver_rel11" hidden="1">2</definedName>
    <definedName name="solver_rel5" hidden="1">2</definedName>
    <definedName name="solver_rel6" hidden="1">2</definedName>
    <definedName name="solver_rel7" hidden="1">2</definedName>
    <definedName name="solver_rel8" hidden="1">2</definedName>
    <definedName name="solver_rel9" hidden="1">2</definedName>
    <definedName name="solver_rhs10" hidden="1">315430</definedName>
    <definedName name="solver_rhs11" hidden="1">284920</definedName>
    <definedName name="solver_tmp" hidden="1">#REF!,#REF!</definedName>
    <definedName name="solver_typ" hidden="1">3</definedName>
    <definedName name="solver_val" hidden="1">22000000000</definedName>
    <definedName name="Source">#REF!</definedName>
    <definedName name="SozlesmeRsYenParitesi">#REF!</definedName>
    <definedName name="SozlesmeYenUSDParitesi">#REF!</definedName>
    <definedName name="sp_active_document_name">"NewDocument"</definedName>
    <definedName name="sp_active_phase">1</definedName>
    <definedName name="sp_building_sfc">0</definedName>
    <definedName name="sp_building_sfc_ph_1">0</definedName>
    <definedName name="sp_existing_building_sfc">0</definedName>
    <definedName name="sp_existing_building_sfc_ph_1">0</definedName>
    <definedName name="sp_G_n_3">0</definedName>
    <definedName name="sp_G_n_3_ph_1">0</definedName>
    <definedName name="sp_G_n_3_units">0</definedName>
    <definedName name="sp_G_n_3_units_ph_1">0</definedName>
    <definedName name="sp_hotel">0</definedName>
    <definedName name="sp_hotel_ph_1">0</definedName>
    <definedName name="sp_hotel_units">0</definedName>
    <definedName name="sp_hotel_units_ph_1">0</definedName>
    <definedName name="sp_lakes_ponds_sfc">0</definedName>
    <definedName name="sp_lakes_ponds_sfc_ph_1">0</definedName>
    <definedName name="sp_multifamily">0</definedName>
    <definedName name="sp_multifamily_ph_1">0</definedName>
    <definedName name="sp_multifamily_units">0</definedName>
    <definedName name="sp_multifamily_units_ph_1">0</definedName>
    <definedName name="sp_office">0</definedName>
    <definedName name="sp_office_ph_1">0</definedName>
    <definedName name="sp_office_units">0</definedName>
    <definedName name="sp_office_units_ph_1">0</definedName>
    <definedName name="sp_open_space_sfc">0</definedName>
    <definedName name="sp_open_space_sfc_ph_1">0</definedName>
    <definedName name="sp_programdarkviolet">0</definedName>
    <definedName name="sp_programdarkviolet_ph_1">0</definedName>
    <definedName name="sp_programdarkviolet_units">0</definedName>
    <definedName name="sp_programdarkviolet_units_ph_1">0</definedName>
    <definedName name="sp_programlightblue">0</definedName>
    <definedName name="sp_programlightblue_ph_1">0</definedName>
    <definedName name="sp_programlightblue_units">0</definedName>
    <definedName name="sp_programlightblue_units_ph_1">0</definedName>
    <definedName name="sp_r_n_d">0</definedName>
    <definedName name="sp_r_n_d_ph_1">0</definedName>
    <definedName name="sp_r_n_d_units">0</definedName>
    <definedName name="sp_r_n_d_units_ph_1">0</definedName>
    <definedName name="sp_residential">0</definedName>
    <definedName name="sp_residential_lot_sfc">0</definedName>
    <definedName name="sp_residential_lot_sfc_ph_1">0</definedName>
    <definedName name="sp_residential_ph_1">0</definedName>
    <definedName name="sp_residential_units">0</definedName>
    <definedName name="sp_residential_units_ph_1">0</definedName>
    <definedName name="sp_retail">0</definedName>
    <definedName name="sp_retail_ph_1">0</definedName>
    <definedName name="sp_retail_units">0</definedName>
    <definedName name="sp_retail_units_ph_1">0</definedName>
    <definedName name="sp_single_family">0</definedName>
    <definedName name="sp_single_family_ph_1">0</definedName>
    <definedName name="sp_single_family_units">0</definedName>
    <definedName name="sp_single_family_units_ph_1">0</definedName>
    <definedName name="sp_site_sfc">0</definedName>
    <definedName name="sp_site_sfc_ph_1">0</definedName>
    <definedName name="sp_structured_parking">0</definedName>
    <definedName name="sp_structured_parking_ph_1">0</definedName>
    <definedName name="sp_structured_parking_sfc">0</definedName>
    <definedName name="sp_structured_parking_sfc_ph_1">0</definedName>
    <definedName name="sp_structured_parking_units">0</definedName>
    <definedName name="sp_structured_parking_units_ph_1">0</definedName>
    <definedName name="sp_surface_parking">0</definedName>
    <definedName name="sp_surface_parking_ph_1">0</definedName>
    <definedName name="sp_surface_parking_sfc">0</definedName>
    <definedName name="sp_surface_parking_sfc_ph_1">0</definedName>
    <definedName name="sp_surface_parking_units">0</definedName>
    <definedName name="sp_surface_parking_units_ph_1">0</definedName>
    <definedName name="sp_townhomes">0</definedName>
    <definedName name="sp_townhomes_ph_1">0</definedName>
    <definedName name="sp_townhomes_units">0</definedName>
    <definedName name="sp_townhomes_units_ph_1">0</definedName>
    <definedName name="sp_townhouses">0</definedName>
    <definedName name="sp_townhouses_ph_1">0</definedName>
    <definedName name="sp_townhouses_units">0</definedName>
    <definedName name="sp_townhouses_units_ph_1">0</definedName>
    <definedName name="sp_unassigned">0</definedName>
    <definedName name="sp_unassigned_ph_1">0</definedName>
    <definedName name="sp_unassigned_sfc">2121604.49310928</definedName>
    <definedName name="sp_unassigned_sfc_ph_1">2121604.49310928</definedName>
    <definedName name="sp_unassigned_units">0</definedName>
    <definedName name="sp_unassigned_units_ph_1">0</definedName>
    <definedName name="sp_Villas">0</definedName>
    <definedName name="sp_Villas_ph_1">0</definedName>
    <definedName name="sp_Villas_units">0</definedName>
    <definedName name="sp_Villas_units_ph_1">0</definedName>
    <definedName name="spbd">#REF!</definedName>
    <definedName name="SPC_Input">#REF!,#REF!,#REF!,#REF!,#REF!,#REF!,#REF!,#REF!,#REF!,#REF!,#REF!,#REF!,#REF!,#REF!</definedName>
    <definedName name="spds">#REF!</definedName>
    <definedName name="spe" hidden="1">{"'Break down'!$A$4"}</definedName>
    <definedName name="SPEC">#REF!</definedName>
    <definedName name="SpecialFire">#REF!</definedName>
    <definedName name="sper">#REF!</definedName>
    <definedName name="Sports">#REF!</definedName>
    <definedName name="sppl">#REF!</definedName>
    <definedName name="Sprinkler">#REF!</definedName>
    <definedName name="SProject">#REF!</definedName>
    <definedName name="sprrow">#REF!</definedName>
    <definedName name="spsw">#REF!</definedName>
    <definedName name="sptc">#REF!</definedName>
    <definedName name="spws">#REF!</definedName>
    <definedName name="SRC">#REF!</definedName>
    <definedName name="sreqf">#REF!</definedName>
    <definedName name="srhrh" hidden="1">{#N/A,#N/A,TRUE,"Cover";#N/A,#N/A,TRUE,"Conts";#N/A,#N/A,TRUE,"VOS";#N/A,#N/A,TRUE,"Warrington";#N/A,#N/A,TRUE,"Widnes"}</definedName>
    <definedName name="srsetrthgfh" hidden="1">{#N/A,#N/A,TRUE,"Cover";#N/A,#N/A,TRUE,"Conts";#N/A,#N/A,TRUE,"VOS";#N/A,#N/A,TRUE,"Warrington";#N/A,#N/A,TRUE,"Widnes"}</definedName>
    <definedName name="srsretr" hidden="1">{#N/A,#N/A,TRUE,"Cover";#N/A,#N/A,TRUE,"Conts";#N/A,#N/A,TRUE,"VOS";#N/A,#N/A,TRUE,"Warrington";#N/A,#N/A,TRUE,"Widnes"}</definedName>
    <definedName name="sryeysr" hidden="1">{#N/A,#N/A,TRUE,"Cover";#N/A,#N/A,TRUE,"Conts";#N/A,#N/A,TRUE,"VOS";#N/A,#N/A,TRUE,"Warrington";#N/A,#N/A,TRUE,"Widnes"}</definedName>
    <definedName name="ss">#REF!</definedName>
    <definedName name="SS_1">#REF!</definedName>
    <definedName name="SS_10">#REF!</definedName>
    <definedName name="SS_11">#REF!</definedName>
    <definedName name="SS_12">#REF!</definedName>
    <definedName name="SS_13">#REF!</definedName>
    <definedName name="SS_14">#REF!</definedName>
    <definedName name="SS_15">#REF!</definedName>
    <definedName name="SS_16">#REF!</definedName>
    <definedName name="SS_17">#REF!</definedName>
    <definedName name="SS_18">#REF!</definedName>
    <definedName name="SS_19">#REF!</definedName>
    <definedName name="SS_2">#REF!</definedName>
    <definedName name="SS_20">#REF!</definedName>
    <definedName name="SS_21">#REF!</definedName>
    <definedName name="SS_22">#REF!</definedName>
    <definedName name="SS_23">#REF!</definedName>
    <definedName name="SS_24">#REF!</definedName>
    <definedName name="SS_25">#REF!</definedName>
    <definedName name="SS_26">#REF!</definedName>
    <definedName name="SS_3">#REF!</definedName>
    <definedName name="SS_4">#REF!</definedName>
    <definedName name="SS_5">#REF!</definedName>
    <definedName name="SS_6">#REF!</definedName>
    <definedName name="SS_7">#REF!</definedName>
    <definedName name="SS_8">#REF!</definedName>
    <definedName name="SS_9">#REF!</definedName>
    <definedName name="sss" hidden="1">{#N/A,#N/A,TRUE,"Cover";#N/A,#N/A,TRUE,"Conts";#N/A,#N/A,TRUE,"VOS";#N/A,#N/A,TRUE,"Warrington";#N/A,#N/A,TRUE,"Widnes"}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T">#REF!</definedName>
    <definedName name="STAFFCST">#REF!</definedName>
    <definedName name="Stage">#REF!</definedName>
    <definedName name="stage_range">#REF!</definedName>
    <definedName name="stairs">#REF!</definedName>
    <definedName name="StandardMeasurement">#REF!</definedName>
    <definedName name="START_DATE">#REF!</definedName>
    <definedName name="Start_date1">#REF!</definedName>
    <definedName name="Start_Row">#REF!</definedName>
    <definedName name="StartDate">#REF!</definedName>
    <definedName name="State">#REF!</definedName>
    <definedName name="status">#REF!</definedName>
    <definedName name="STEEL">#REF!</definedName>
    <definedName name="str">#REF!</definedName>
    <definedName name="stri1">#REF!</definedName>
    <definedName name="stri2">#REF!</definedName>
    <definedName name="Strike">#REF!</definedName>
    <definedName name="Strike02">#REF!</definedName>
    <definedName name="stryt5u8h87" hidden="1">{#N/A,#N/A,TRUE,"Cover";#N/A,#N/A,TRUE,"Conts";#N/A,#N/A,TRUE,"VOS";#N/A,#N/A,TRUE,"Warrington";#N/A,#N/A,TRUE,"Widnes"}</definedName>
    <definedName name="Sub_BU_range">#REF!</definedName>
    <definedName name="SUB2.2">#REF!</definedName>
    <definedName name="SUB2.3">#REF!</definedName>
    <definedName name="SUB2.4">#REF!</definedName>
    <definedName name="SUB2.5">#REF!</definedName>
    <definedName name="SUB2.6">#REF!</definedName>
    <definedName name="SUB3.1">#REF!</definedName>
    <definedName name="SUB3.2">#REF!</definedName>
    <definedName name="SUB4.1">#REF!</definedName>
    <definedName name="Subbase">#REF!</definedName>
    <definedName name="subcon">#REF!</definedName>
    <definedName name="subcondim">#REF!</definedName>
    <definedName name="subcones">#REF!</definedName>
    <definedName name="subconsds">#REF!</definedName>
    <definedName name="subconsewer">#REF!</definedName>
    <definedName name="subcontel">#REF!</definedName>
    <definedName name="subconws">#REF!</definedName>
    <definedName name="subconwt">#REF!</definedName>
    <definedName name="subgrade">#REF!</definedName>
    <definedName name="SubItemColumn">Data!$O$92:$O$214</definedName>
    <definedName name="SubjectProperty">#REF!</definedName>
    <definedName name="SubjectRooms">#REF!</definedName>
    <definedName name="SUBM">#REF!</definedName>
    <definedName name="Submittals_Status_Drawing__2__List">#REF!</definedName>
    <definedName name="Submittals_Status_Drawing__2__List1">#REF!</definedName>
    <definedName name="SUBS">#REF!</definedName>
    <definedName name="SUBSIS">#REF!</definedName>
    <definedName name="SUBSISP">#REF!</definedName>
    <definedName name="SUMHEADER">#REF!</definedName>
    <definedName name="summ1" hidden="1">{"'Break down'!$A$4"}</definedName>
    <definedName name="summariseddiff" hidden="1">{"'Break down'!$A$4"}</definedName>
    <definedName name="summary" hidden="1">{"'Break down'!$A$4"}</definedName>
    <definedName name="SummaryCarpark">#REF!</definedName>
    <definedName name="summaryhead">#REF!</definedName>
    <definedName name="SummaryTowerBldg">#REF!</definedName>
    <definedName name="Sung">#REF!</definedName>
    <definedName name="Supply">#REF!</definedName>
    <definedName name="Supply_Skopje">#REF!</definedName>
    <definedName name="surarea2">#REF!</definedName>
    <definedName name="SVF">#REF!</definedName>
    <definedName name="SVF_FLOW">#REF!</definedName>
    <definedName name="swsdfa" hidden="1">{#N/A,#N/A,TRUE,"Cover";#N/A,#N/A,TRUE,"Conts";#N/A,#N/A,TRUE,"VOS";#N/A,#N/A,TRUE,"Warrington";#N/A,#N/A,TRUE,"Widnes"}</definedName>
    <definedName name="sys_num">#REF!</definedName>
    <definedName name="System">#REF!</definedName>
    <definedName name="syu" hidden="1">{#N/A,#N/A,TRUE,"Cover";#N/A,#N/A,TRUE,"Conts";#N/A,#N/A,TRUE,"VOS";#N/A,#N/A,TRUE,"Warrington";#N/A,#N/A,TRUE,"Widnes"}</definedName>
    <definedName name="T">Data!$C$37:$C$38</definedName>
    <definedName name="t_old">#REF!</definedName>
    <definedName name="TA_Commissions">#REF!</definedName>
    <definedName name="TAB___BANQUET">#REF!</definedName>
    <definedName name="TAB_AVG_SPEND">#REF!</definedName>
    <definedName name="TAB_BANQ_ATTEND">#REF!</definedName>
    <definedName name="TAB_BANQ_COVERS">#REF!</definedName>
    <definedName name="TAB_BANQ_REV">#REF!</definedName>
    <definedName name="TAB_BANQ_SPEND">#REF!</definedName>
    <definedName name="TAB_BANQUET_REV">#REF!</definedName>
    <definedName name="TAB_FACILITIES">#REF!</definedName>
    <definedName name="TAB_IN_HOUSE">#REF!</definedName>
    <definedName name="TAB_NON_HOTEL">#REF!</definedName>
    <definedName name="TAB_OUTLET_REV">#REF!</definedName>
    <definedName name="TAB_OUTLETCOVER">#REF!</definedName>
    <definedName name="Tab_Rate_Proj">#REF!</definedName>
    <definedName name="TAB_REVSUMM1">#REF!</definedName>
    <definedName name="TAB_REVSUMM2">#REF!</definedName>
    <definedName name="TAB_REVSUMM3">#REF!</definedName>
    <definedName name="TAB_ROOM_HIRE">#REF!</definedName>
    <definedName name="TAB_SEG_RATE_GR">#REF!</definedName>
    <definedName name="Tab_Stab_Rate_2">#REF!</definedName>
    <definedName name="TAB_TOTAL_COVER">#REF!</definedName>
    <definedName name="Table_3_2">#REF!</definedName>
    <definedName name="Table_3_3">#REF!</definedName>
    <definedName name="Table_3_4">#REF!</definedName>
    <definedName name="Table_3_5">#REF!</definedName>
    <definedName name="Table_3_6">#REF!</definedName>
    <definedName name="Table_3_7">#REF!</definedName>
    <definedName name="Table_3_8">#REF!</definedName>
    <definedName name="Table_4_1">#REF!</definedName>
    <definedName name="Table_9_10">#REF!</definedName>
    <definedName name="Table_9_7">#REF!</definedName>
    <definedName name="Table_9_8">#REF!</definedName>
    <definedName name="Table_9_9">#REF!</definedName>
    <definedName name="TABLE_ACCRUED">#REF!</definedName>
    <definedName name="TABLE_BILLED">#REF!</definedName>
    <definedName name="TabPene">#REF!</definedName>
    <definedName name="tabtdp">#REF!</definedName>
    <definedName name="TackCoat">#REF!</definedName>
    <definedName name="TAL">#REF!</definedName>
    <definedName name="TALA">#REF!</definedName>
    <definedName name="Tank">#REF!</definedName>
    <definedName name="TARIFAS" hidden="1">#REF!</definedName>
    <definedName name="tax_paste">#REF!</definedName>
    <definedName name="TaxesEstim">#REF!</definedName>
    <definedName name="TaxInflation">#REF!</definedName>
    <definedName name="TaxRate">#REF!</definedName>
    <definedName name="taxrevfunding_hc">#REF!</definedName>
    <definedName name="tbarri">#REF!</definedName>
    <definedName name="Tbc">#REF!</definedName>
    <definedName name="TC">#REF!</definedName>
    <definedName name="tcant">#REF!</definedName>
    <definedName name="tcf">#REF!</definedName>
    <definedName name="tcpdp">#REF!</definedName>
    <definedName name="tcs">#REF!</definedName>
    <definedName name="tcv">#REF!</definedName>
    <definedName name="tdc">#REF!</definedName>
    <definedName name="TDS" hidden="1">{"'Sheet1'!$A$4386:$N$4591"}</definedName>
    <definedName name="Technology">#REF!</definedName>
    <definedName name="temp" hidden="1">{"'Break down'!$A$4"}</definedName>
    <definedName name="temp1" hidden="1">{"'Break down'!$A$4"}</definedName>
    <definedName name="tender">#REF!</definedName>
    <definedName name="Tenure">#REF!</definedName>
    <definedName name="term">#REF!</definedName>
    <definedName name="TerminalCap">#REF!</definedName>
    <definedName name="Terrazzo_Flooring">#REF!</definedName>
    <definedName name="test" hidden="1">{"'Break down'!$A$4"}</definedName>
    <definedName name="tfgf" hidden="1">#REF!</definedName>
    <definedName name="TG">#REF!</definedName>
    <definedName name="TH">#REF!</definedName>
    <definedName name="thikwing">#REF!</definedName>
    <definedName name="this_month">#REF!</definedName>
    <definedName name="this_month_cost_summary">#REF!</definedName>
    <definedName name="this_period">#REF!</definedName>
    <definedName name="ths">#REF!</definedName>
    <definedName name="thsn">#REF!</definedName>
    <definedName name="thsn1">#REF!</definedName>
    <definedName name="tht">#REF!</definedName>
    <definedName name="thwghrt" hidden="1">{#N/A,#N/A,TRUE,"Cover";#N/A,#N/A,TRUE,"Conts";#N/A,#N/A,TRUE,"VOS";#N/A,#N/A,TRUE,"Warrington";#N/A,#N/A,TRUE,"Widnes"}</definedName>
    <definedName name="Tick">#REF!</definedName>
    <definedName name="tie_wire">#REF!</definedName>
    <definedName name="Tile_Skirting">#REF!</definedName>
    <definedName name="TIME">#REF!</definedName>
    <definedName name="Timescale">#REF!</definedName>
    <definedName name="TITLE">#REF!</definedName>
    <definedName name="title1">#REF!</definedName>
    <definedName name="title2">#REF!</definedName>
    <definedName name="TJ">#REF!</definedName>
    <definedName name="Tl">#REF!</definedName>
    <definedName name="tmp" hidden="1">{"'Break down'!$A$4"}</definedName>
    <definedName name="tnj" hidden="1">{"'Break down'!$A$4"}</definedName>
    <definedName name="TOK" hidden="1">#REF!</definedName>
    <definedName name="tolerence">#REF!</definedName>
    <definedName name="toparea1">#REF!</definedName>
    <definedName name="TOT_VALUE1">#REF!</definedName>
    <definedName name="Total">#REF!</definedName>
    <definedName name="Total_Construction_Cost">#REF!</definedName>
    <definedName name="Total_Cost">#REF!</definedName>
    <definedName name="total_de">#REF!</definedName>
    <definedName name="total_net_rent_for_cashflow">#REF!</definedName>
    <definedName name="total_pack">#REF!</definedName>
    <definedName name="Total_Replacement_Cost">#REF!</definedName>
    <definedName name="total1">#REF!</definedName>
    <definedName name="totalbudget">#REF!</definedName>
    <definedName name="totalflats">#REF!</definedName>
    <definedName name="totalother">#REF!</definedName>
    <definedName name="totalroomnights">#REF!</definedName>
    <definedName name="TPI_01">#REF!</definedName>
    <definedName name="tppp" hidden="1">{"'Break down'!$A$4"}</definedName>
    <definedName name="Trac">#REF!</definedName>
    <definedName name="TrafficSings">#REF!</definedName>
    <definedName name="TransactionCosts">#REF!</definedName>
    <definedName name="trbnuomi" hidden="1">{#N/A,#N/A,TRUE,"Cover";#N/A,#N/A,TRUE,"Conts";#N/A,#N/A,TRUE,"VOS";#N/A,#N/A,TRUE,"Warrington";#N/A,#N/A,TRUE,"Widnes"}</definedName>
    <definedName name="trend_table">#REF!</definedName>
    <definedName name="trgr" hidden="1">{#N/A,#N/A,TRUE,"Cover";#N/A,#N/A,TRUE,"Conts";#N/A,#N/A,TRUE,"VOS";#N/A,#N/A,TRUE,"Warrington";#N/A,#N/A,TRUE,"Widnes"}</definedName>
    <definedName name="trhe" hidden="1">{#N/A,#N/A,TRUE,"Cover";#N/A,#N/A,TRUE,"Conts";#N/A,#N/A,TRUE,"VOS";#N/A,#N/A,TRUE,"Warrington";#N/A,#N/A,TRUE,"Widnes"}</definedName>
    <definedName name="trhsh" hidden="1">{#N/A,#N/A,TRUE,"Cover";#N/A,#N/A,TRUE,"Conts";#N/A,#N/A,TRUE,"VOS";#N/A,#N/A,TRUE,"Warrington";#N/A,#N/A,TRUE,"Widnes"}</definedName>
    <definedName name="trhsw" hidden="1">{#N/A,#N/A,TRUE,"Cover";#N/A,#N/A,TRUE,"Conts";#N/A,#N/A,TRUE,"VOS";#N/A,#N/A,TRUE,"Warrington";#N/A,#N/A,TRUE,"Widnes"}</definedName>
    <definedName name="TRTIME">#REF!</definedName>
    <definedName name="TSD">#REF!</definedName>
    <definedName name="tsidewlk">#REF!</definedName>
    <definedName name="TSS">#REF!</definedName>
    <definedName name="tt">#REF!</definedName>
    <definedName name="tui" hidden="1">{#N/A,#N/A,TRUE,"Cover";#N/A,#N/A,TRUE,"Conts";#N/A,#N/A,TRUE,"VOS";#N/A,#N/A,TRUE,"Warrington";#N/A,#N/A,TRUE,"Widnes"}</definedName>
    <definedName name="tuite" hidden="1">{#N/A,#N/A,TRUE,"Cover";#N/A,#N/A,TRUE,"Conts";#N/A,#N/A,TRUE,"VOS";#N/A,#N/A,TRUE,"Warrington";#N/A,#N/A,TRUE,"Widnes"}</definedName>
    <definedName name="Turk">#REF!</definedName>
    <definedName name="TURN">#REF!</definedName>
    <definedName name="tvtyiuoujl" hidden="1">{#N/A,#N/A,TRUE,"Cover";#N/A,#N/A,TRUE,"Conts";#N/A,#N/A,TRUE,"VOS";#N/A,#N/A,TRUE,"Warrington";#N/A,#N/A,TRUE,"Widnes"}</definedName>
    <definedName name="TW">#REF!</definedName>
    <definedName name="ty" hidden="1">{"'Break down'!$A$4"}</definedName>
    <definedName name="Type">#REF!</definedName>
    <definedName name="type_criteria">#REF!</definedName>
    <definedName name="type_range">#REF!</definedName>
    <definedName name="type_sec">#REF!</definedName>
    <definedName name="Type1">#REF!</definedName>
    <definedName name="Type2">#REF!</definedName>
    <definedName name="Type3">#REF!</definedName>
    <definedName name="Type4">#REF!</definedName>
    <definedName name="Type5">#REF!</definedName>
    <definedName name="Type6">#REF!</definedName>
    <definedName name="Type7">#REF!</definedName>
    <definedName name="Type8">#REF!</definedName>
    <definedName name="Type9">#REF!</definedName>
    <definedName name="TypeEstimate">#REF!</definedName>
    <definedName name="TYU" hidden="1">#REF!</definedName>
    <definedName name="tyutri" hidden="1">{#N/A,#N/A,TRUE,"Cover";#N/A,#N/A,TRUE,"Conts";#N/A,#N/A,TRUE,"VOS";#N/A,#N/A,TRUE,"Warrington";#N/A,#N/A,TRUE,"Widnes"}</definedName>
    <definedName name="U">#REF!</definedName>
    <definedName name="UD">#REF!</definedName>
    <definedName name="uhhtrytrs" hidden="1">{#N/A,#N/A,TRUE,"Cover";#N/A,#N/A,TRUE,"Conts";#N/A,#N/A,TRUE,"VOS";#N/A,#N/A,TRUE,"Warrington";#N/A,#N/A,TRUE,"Widnes"}</definedName>
    <definedName name="ui" hidden="1">{"'Break down'!$A$4"}</definedName>
    <definedName name="uit" hidden="1">{#N/A,#N/A,TRUE,"Cover";#N/A,#N/A,TRUE,"Conts";#N/A,#N/A,TRUE,"VOS";#N/A,#N/A,TRUE,"Warrington";#N/A,#N/A,TRUE,"Widnes"}</definedName>
    <definedName name="uiuif" hidden="1">{#N/A,#N/A,TRUE,"Cover";#N/A,#N/A,TRUE,"Conts";#N/A,#N/A,TRUE,"VOS";#N/A,#N/A,TRUE,"Warrington";#N/A,#N/A,TRUE,"Widnes"}</definedName>
    <definedName name="uiyuitii" hidden="1">{#N/A,#N/A,TRUE,"Cover";#N/A,#N/A,TRUE,"Conts";#N/A,#N/A,TRUE,"VOS";#N/A,#N/A,TRUE,"Warrington";#N/A,#N/A,TRUE,"Widnes"}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lppuipui" hidden="1">{#N/A,#N/A,TRUE,"Cover";#N/A,#N/A,TRUE,"Conts";#N/A,#N/A,TRUE,"VOS";#N/A,#N/A,TRUE,"Warrington";#N/A,#N/A,TRUE,"Widnes"}</definedName>
    <definedName name="Unaccom">#REF!</definedName>
    <definedName name="unaccom1">#REF!</definedName>
    <definedName name="Unaccom2">#REF!</definedName>
    <definedName name="UNDER0_START">#REF!</definedName>
    <definedName name="undo" hidden="1">{#N/A,#N/A,TRUE,"Cover";#N/A,#N/A,TRUE,"Conts";#N/A,#N/A,TRUE,"VOS";#N/A,#N/A,TRUE,"Warrington";#N/A,#N/A,TRUE,"Widnes"}</definedName>
    <definedName name="Unit">#REF!</definedName>
    <definedName name="Unit_Prices_Used_In_Analysis">#REF!</definedName>
    <definedName name="unit_range">#REF!</definedName>
    <definedName name="unite">#REF!</definedName>
    <definedName name="uolougouio" hidden="1">{#N/A,#N/A,TRUE,"Cover";#N/A,#N/A,TRUE,"Conts";#N/A,#N/A,TRUE,"VOS";#N/A,#N/A,TRUE,"Warrington";#N/A,#N/A,TRUE,"Widnes"}</definedName>
    <definedName name="Updated_Capex">#REF!</definedName>
    <definedName name="upo" hidden="1">{"'Break down'!$A$4"}</definedName>
    <definedName name="upper">#REF!</definedName>
    <definedName name="uppipeabt">#REF!</definedName>
    <definedName name="uppipebox">#REF!</definedName>
    <definedName name="USD">#REF!</definedName>
    <definedName name="USDRs">#REF!</definedName>
    <definedName name="USDYen">#REF!</definedName>
    <definedName name="USLE">#REF!</definedName>
    <definedName name="Utilities">#REF!</definedName>
    <definedName name="UUU" hidden="1">{"'Break down'!$A$4"}</definedName>
    <definedName name="uy" hidden="1">{"'Break down'!$A$4"}</definedName>
    <definedName name="V">Data!$C$56:$C$65</definedName>
    <definedName name="valuation">#REF!</definedName>
    <definedName name="value">#REF!</definedName>
    <definedName name="Values_Entered">IF(Loan_amount*Interest_Rate*Loan_Years*Loan_Start&gt;0,1,0)</definedName>
    <definedName name="Variance">#REF!</definedName>
    <definedName name="variance_table">#REF!</definedName>
    <definedName name="variances">#REF!</definedName>
    <definedName name="Variatio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ariationName">#REF!</definedName>
    <definedName name="VariationNo">#REF!</definedName>
    <definedName name="varsum">#REF!</definedName>
    <definedName name="vent">#REF!</definedName>
    <definedName name="Ventilation">#REF!</definedName>
    <definedName name="verpile">#REF!</definedName>
    <definedName name="Version">#REF!</definedName>
    <definedName name="Video_Participation_Fee">#REF!</definedName>
    <definedName name="Visitation">#REF!</definedName>
    <definedName name="visitors">#REF!</definedName>
    <definedName name="vj" hidden="1">{#N/A,#N/A,TRUE,"Cover";#N/A,#N/A,TRUE,"Conts";#N/A,#N/A,TRUE,"VOS";#N/A,#N/A,TRUE,"Warrington";#N/A,#N/A,TRUE,"Widnes"}</definedName>
    <definedName name="Vn">Data!$C$87:$C$90</definedName>
    <definedName name="vol_case_range">#REF!</definedName>
    <definedName name="volww">#REF!</definedName>
    <definedName name="VRFbud1">#REF!</definedName>
    <definedName name="VRFclass1">#REF!</definedName>
    <definedName name="vur" hidden="1">#REF!</definedName>
    <definedName name="vural" hidden="1">#REF!</definedName>
    <definedName name="vv" hidden="1">{"'Break down'!$A$4"}</definedName>
    <definedName name="VVXsv">#REF!</definedName>
    <definedName name="VXZVZdvZ">#REF!</definedName>
    <definedName name="W">#REF!</definedName>
    <definedName name="w26te" hidden="1">{#N/A,#N/A,TRUE,"Cover";#N/A,#N/A,TRUE,"Conts";#N/A,#N/A,TRUE,"VOS";#N/A,#N/A,TRUE,"Warrington";#N/A,#N/A,TRUE,"Widnes"}</definedName>
    <definedName name="w6y" hidden="1">{#N/A,#N/A,TRUE,"Cover";#N/A,#N/A,TRUE,"Conts";#N/A,#N/A,TRUE,"VOS";#N/A,#N/A,TRUE,"Warrington";#N/A,#N/A,TRUE,"Widnes"}</definedName>
    <definedName name="waff" hidden="1">{#N/A,#N/A,TRUE,"Cover";#N/A,#N/A,TRUE,"Conts";#N/A,#N/A,TRUE,"VOS";#N/A,#N/A,TRUE,"Warrington";#N/A,#N/A,TRUE,"Widnes"}</definedName>
    <definedName name="walls">#REF!</definedName>
    <definedName name="warergtrjyiu" hidden="1">{#N/A,#N/A,TRUE,"Cover";#N/A,#N/A,TRUE,"Conts";#N/A,#N/A,TRUE,"VOS";#N/A,#N/A,TRUE,"Warrington";#N/A,#N/A,TRUE,"Widnes"}</definedName>
    <definedName name="Water">#REF!</definedName>
    <definedName name="water_funds" hidden="1">{"'Sheet1'!$A$4386:$N$4591"}</definedName>
    <definedName name="wawst" hidden="1">{#N/A,#N/A,TRUE,"Cover";#N/A,#N/A,TRUE,"Conts";#N/A,#N/A,TRUE,"VOS";#N/A,#N/A,TRUE,"Warrington";#N/A,#N/A,TRUE,"Widnes"}</definedName>
    <definedName name="WD">#REF!</definedName>
    <definedName name="wdssubcon">#REF!</definedName>
    <definedName name="we" hidden="1">{"'Break down'!$A$4"}</definedName>
    <definedName name="WearingCourse">#REF!</definedName>
    <definedName name="weeks">#REF!</definedName>
    <definedName name="WEEKUPD">#REF!</definedName>
    <definedName name="wegywegt" hidden="1">{#N/A,#N/A,TRUE,"Cover";#N/A,#N/A,TRUE,"Conts";#N/A,#N/A,TRUE,"VOS";#N/A,#N/A,TRUE,"Warrington";#N/A,#N/A,TRUE,"Widnes"}</definedName>
    <definedName name="WEIGHT">#REF!</definedName>
    <definedName name="weo" hidden="1">{"'Break down'!$A$4"}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rt" hidden="1">{#N/A,#N/A,TRUE,"Cover";#N/A,#N/A,TRUE,"Conts";#N/A,#N/A,TRUE,"VOS";#N/A,#N/A,TRUE,"Warrington";#N/A,#N/A,TRUE,"Widnes"}</definedName>
    <definedName name="werttt" hidden="1">{"'Break down'!$A$4"}</definedName>
    <definedName name="WetDryPipe">#REF!</definedName>
    <definedName name="wetjy" hidden="1">{#N/A,#N/A,TRUE,"Cover";#N/A,#N/A,TRUE,"Conts";#N/A,#N/A,TRUE,"VOS";#N/A,#N/A,TRUE,"Warrington";#N/A,#N/A,TRUE,"Widnes"}</definedName>
    <definedName name="wetyrutu" hidden="1">{#N/A,#N/A,TRUE,"Cover";#N/A,#N/A,TRUE,"Conts";#N/A,#N/A,TRUE,"VOS";#N/A,#N/A,TRUE,"Warrington";#N/A,#N/A,TRUE,"Widnes"}</definedName>
    <definedName name="WF">#REF!</definedName>
    <definedName name="WG">#REF!</definedName>
    <definedName name="WGW">#REF!</definedName>
    <definedName name="What">#N/A</definedName>
    <definedName name="which_question">#REF!</definedName>
    <definedName name="widabt">#REF!</definedName>
    <definedName name="width">#REF!</definedName>
    <definedName name="widwing">#REF!</definedName>
    <definedName name="windowDiscount">#REF!</definedName>
    <definedName name="windowM2">#REF!</definedName>
    <definedName name="windows">#REF!</definedName>
    <definedName name="wire">#REF!</definedName>
    <definedName name="wire_mesh">#REF!</definedName>
    <definedName name="wires">#REF!</definedName>
    <definedName name="wmm">#REF!</definedName>
    <definedName name="Workface">#REF!</definedName>
    <definedName name="Workface02">#REF!</definedName>
    <definedName name="wqer" hidden="1">{#N/A,#N/A,TRUE,"Cover";#N/A,#N/A,TRUE,"Conts";#N/A,#N/A,TRUE,"VOS";#N/A,#N/A,TRUE,"Warrington";#N/A,#N/A,TRUE,"Widnes"}</definedName>
    <definedName name="WRITE" hidden="1">{#N/A,#N/A,FALSE,"CCTV"}</definedName>
    <definedName name="wrn" hidden="1">{#N/A,#N/A,TRUE,"Equipment installation bm"}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_.lines." hidden="1">{#N/A,#N/A,FALSE,"Summary";#N/A,#N/A,FALSE,"3TJ";#N/A,#N/A,FALSE,"3TN";#N/A,#N/A,FALSE,"3TP";#N/A,#N/A,FALSE,"3SJ";#N/A,#N/A,FALSE,"3CJ";#N/A,#N/A,FALSE,"3CN";#N/A,#N/A,FALSE,"3CP";#N/A,#N/A,FALSE,"3A"}</definedName>
    <definedName name="wrn.All._.Sheets." hidden="1">{#N/A,#N/A,FALSE,"HO Sum";#N/A,#N/A,FALSE,"HO Rates";#N/A,#N/A,FALSE,"Co Sum";#N/A,#N/A,FALSE,"Clients Office";#N/A,#N/A,FALSE,"Field Sum";#N/A,#N/A,FALSE,"Field Rates"}</definedName>
    <definedName name="wrn.Barbara._.Modular._.Indirects.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h." hidden="1">{#N/A,#N/A,FALSE,"TELEFON"}</definedName>
    <definedName name="wrn.BILLS." hidden="1">{"Bill 3.2",#N/A,FALSE,"BILLS"}</definedName>
    <definedName name="wrn.BM." hidden="1">{#N/A,#N/A,FALSE,"CCTV"}</definedName>
    <definedName name="wrn.chi._.tiÆt." hidden="1">{#N/A,#N/A,FALSE,"Chi tiÆt"}</definedName>
    <definedName name="wrn.CHIEF._.REVIEW." hidden="1">{#N/A,#N/A,FALSE,"Q&amp;AE";#N/A,#N/A,FALSE,"Params";#N/A,#N/A,FALSE,"ReconE";#N/A,#N/A,FALSE,"CostCompE";#N/A,#N/A,FALSE,"SummaryE";#N/A,#N/A,FALSE,"Detail";#N/A,#N/A,FALSE,"PayItem"}</definedName>
    <definedName name="wrn.CIRCUITS." hidden="1">{"DBANK",#N/A,FALSE,"PriceE";"CKTS",#N/A,FALSE,"PriceE"}</definedName>
    <definedName name="wrn.Clients._.Office._.and._.sum." hidden="1">{#N/A,#N/A,FALSE,"Clients Office";#N/A,#N/A,FALSE,"Co Sum"}</definedName>
    <definedName name="wrn.Complete._.Cost._.Sheet.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mplete._.Sys.._.Estimate." hidden="1">{#N/A,#N/A,TRUE,"Cover Memo";"Complete Sys. Estimate",#N/A,TRUE,"Change Summary";"Complete Sys. Estimate",#N/A,TRUE,"Estimate Summary";"Complete Sys. Estimate",#N/A,TRUE,"Dept. Summary";"Complete Sys. Estimate",#N/A,TRUE,"DOW Detail"}</definedName>
    <definedName name="wrn.Cost._.Summary." hidden="1">{"Cost Summary",#N/A,FALSE,"B";"Cost Detail 1",#N/A,FALSE,"C";"Cost Detail 2",#N/A,FALSE,"C"}</definedName>
    <definedName name="wrn.COST_SHEETS." hidden="1">{#N/A,#N/A,FALSE,"WBS 1.06";#N/A,#N/A,FALSE,"WBS 1.14";#N/A,#N/A,FALSE,"WBS 1.17";#N/A,#N/A,FALSE,"WBS 1.18"}</definedName>
    <definedName name="wrn.costprint.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Detail." hidden="1">{"Detail",#N/A,FALSE,"Assump";"Detail",#N/A,FALSE,"Muni";"Detail",#N/A,FALSE,"Proj";"Detail",#N/A,FALSE,"Calc";"Present",#N/A,FALSE,"Cover"}</definedName>
    <definedName name="wrn.ED." hidden="1">{#N/A,#N/A,TRUE,"Equipment installation bm"}</definedName>
    <definedName name="wrn.Equipment._.List." hidden="1">{#N/A,#N/A,TRUE,"COVERSHEET";#N/A,#N/A,TRUE,"LEGEND";#N/A,#N/A,TRUE,"LIST"}</definedName>
    <definedName name="wrn.Facility._.Estimate." hidden="1">{#N/A,#N/A,TRUE,"Cover Memo";"Facility Estimate",#N/A,TRUE,"Change Summary";"Facility Estimate",#N/A,TRUE,"Estimate Summary";"Facility Estimate",#N/A,TRUE,"Dept. Summary";"Facility Estimate",#N/A,TRUE,"DOW Detail"}</definedName>
    <definedName name="wrn.Field._.Office._.and._.Sum." hidden="1">{#N/A,#N/A,FALSE,"Field Rates";#N/A,#N/A,FALSE,"Field Sum"}</definedName>
    <definedName name="wrn.FINAL._.ESTIMATE." hidden="1">{#N/A,#N/A,FALSE,"ProjInfo";#N/A,#N/A,FALSE,"Params";#N/A,#N/A,FALSE,"Q&amp;AE";#N/A,#N/A,FALSE,"CostCompE";#N/A,#N/A,FALSE,"SummaryE";#N/A,#N/A,FALSE,"PayItem";#N/A,#N/A,FALSE,"Detail";#N/A,#N/A,FALSE,"ReconE"}</definedName>
    <definedName name="wrn.FIZIB.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wrn.Fuel._.oil._.option." hidden="1">{"FUEL OIL",#N/A,FALSE,"Option"}</definedName>
    <definedName name="wrn.full.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HO._.Rates._.and._.Sum." hidden="1">{#N/A,#N/A,FALSE,"HO Rates";#N/A,#N/A,FALSE,"HO Sum"}</definedName>
    <definedName name="wrn.Manpower._.Details.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P854._.ADDENDUM.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resent." hidden="1">{"Present",#N/A,FALSE,"Assump";"Present",#N/A,FALSE,"Calc";"Present",#N/A,FALSE,"Cover"}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Redundant._.Equipment._.Option." hidden="1">{"pumps",#N/A,FALSE,"Option"}</definedName>
    <definedName name="wrn.Ride._.Estimate." hidden="1">{#N/A,#N/A,TRUE,"Cover Memo";"Ride Estimate",#N/A,TRUE,"Change Summary";"Ride Estimate",#N/A,TRUE,"Estimate Summary";"Ride Estimate",#N/A,TRUE,"Dept. Summary";"Ride Estimate",#N/A,TRUE,"DOW Detail"}</definedName>
    <definedName name="wrn.Show._.Estimate." hidden="1">{#N/A,#N/A,TRUE,"Cover Memo";"Show Estimate",#N/A,TRUE,"Change Summary";"Show Estimate",#N/A,TRUE,"Estimate Summary";"Show Estimate",#N/A,TRUE,"Dept. Summary";"Show Estimate",#N/A,TRUE,"DOW Detail"}</definedName>
    <definedName name="wrn.STG._.BLDG._.ENCLOSURE." hidden="1">{"turbine",#N/A,FALSE,"Option"}</definedName>
    <definedName name="wrn.struckgi." hidden="1">{#N/A,#N/A,TRUE,"arnitower";#N/A,#N/A,TRUE,"arnigarage "}</definedName>
    <definedName name="wrn.test." hidden="1">{#N/A,#N/A,FALSE,"Tower &amp; Car Park"}</definedName>
    <definedName name="wrn.Warrington._.Widnes._.QS._.Costs." hidden="1">{#N/A,#N/A,TRUE,"Cover";#N/A,#N/A,TRUE,"Conts";#N/A,#N/A,TRUE,"VOS";#N/A,#N/A,TRUE,"Warrington";#N/A,#N/A,TRUE,"Widnes"}</definedName>
    <definedName name="wrn.WHOUSE._.CT." hidden="1">{"WESTINGHOUSE",#N/A,FALSE,"Option"}</definedName>
    <definedName name="wrrwerwrew" hidden="1">{#N/A,#N/A,TRUE,"Cover";#N/A,#N/A,TRUE,"Conts";#N/A,#N/A,TRUE,"VOS";#N/A,#N/A,TRUE,"Warrington";#N/A,#N/A,TRUE,"Widnes"}</definedName>
    <definedName name="WRS" hidden="1">{"'장비'!$A$3:$M$12"}</definedName>
    <definedName name="wrw" hidden="1">{"'Break down'!$A$4"}</definedName>
    <definedName name="wryuwyrututwys" hidden="1">{#N/A,#N/A,TRUE,"Cover";#N/A,#N/A,TRUE,"Conts";#N/A,#N/A,TRUE,"VOS";#N/A,#N/A,TRUE,"Warrington";#N/A,#N/A,TRUE,"Widnes"}</definedName>
    <definedName name="wsetgf" hidden="1">{"'8'!$B$1:$I$46"}</definedName>
    <definedName name="WT" hidden="1">{#N/A,#N/A,TRUE,"Cover";#N/A,#N/A,TRUE,"Conts";#N/A,#N/A,TRUE,"VOS";#N/A,#N/A,TRUE,"Warrington";#N/A,#N/A,TRUE,"Widnes"}</definedName>
    <definedName name="wtc">#REF!</definedName>
    <definedName name="wtey" hidden="1">{#N/A,#N/A,TRUE,"Cover";#N/A,#N/A,TRUE,"Conts";#N/A,#N/A,TRUE,"VOS";#N/A,#N/A,TRUE,"Warrington";#N/A,#N/A,TRUE,"Widnes"}</definedName>
    <definedName name="wtrwt" hidden="1">{#N/A,#N/A,TRUE,"Cover";#N/A,#N/A,TRUE,"Conts";#N/A,#N/A,TRUE,"VOS";#N/A,#N/A,TRUE,"Warrington";#N/A,#N/A,TRUE,"Widnes"}</definedName>
    <definedName name="wtrywryt" hidden="1">{#N/A,#N/A,TRUE,"Cover";#N/A,#N/A,TRUE,"Conts";#N/A,#N/A,TRUE,"VOS";#N/A,#N/A,TRUE,"Warrington";#N/A,#N/A,TRUE,"Widnes"}</definedName>
    <definedName name="wtwt" hidden="1">{#N/A,#N/A,TRUE,"Cover";#N/A,#N/A,TRUE,"Conts";#N/A,#N/A,TRUE,"VOS";#N/A,#N/A,TRUE,"Warrington";#N/A,#N/A,TRUE,"Widnes"}</definedName>
    <definedName name="wtwy" hidden="1">{#N/A,#N/A,TRUE,"Cover";#N/A,#N/A,TRUE,"Conts";#N/A,#N/A,TRUE,"VOS";#N/A,#N/A,TRUE,"Warrington";#N/A,#N/A,TRUE,"Widnes"}</definedName>
    <definedName name="WW" hidden="1">{"'Sheet1'!$A$4386:$N$4591"}</definedName>
    <definedName name="www" hidden="1">{#N/A,#N/A,TRUE,"Cover";#N/A,#N/A,TRUE,"Conts";#N/A,#N/A,TRUE,"VOS";#N/A,#N/A,TRUE,"Warrington";#N/A,#N/A,TRUE,"Widnes"}</definedName>
    <definedName name="wwwww" hidden="1">{#N/A,#N/A,TRUE,"Cover";#N/A,#N/A,TRUE,"Conts";#N/A,#N/A,TRUE,"VOS";#N/A,#N/A,TRUE,"Warrington";#N/A,#N/A,TRUE,"Widnes"}</definedName>
    <definedName name="wwwwww" hidden="1">{#N/A,#N/A,FALSE,"HO Sum";#N/A,#N/A,FALSE,"HO Rates";#N/A,#N/A,FALSE,"Co Sum";#N/A,#N/A,FALSE,"Clients Office";#N/A,#N/A,FALSE,"Field Sum";#N/A,#N/A,FALSE,"Field Rates"}</definedName>
    <definedName name="wy7u7y" hidden="1">{#N/A,#N/A,TRUE,"Cover";#N/A,#N/A,TRUE,"Conts";#N/A,#N/A,TRUE,"VOS";#N/A,#N/A,TRUE,"Warrington";#N/A,#N/A,TRUE,"Widnes"}</definedName>
    <definedName name="X">#REF!</definedName>
    <definedName name="x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LK" hidden="1">{"'Break down'!$A$4"}</definedName>
    <definedName name="xls." hidden="1">{"'Break down'!$A$4"}</definedName>
    <definedName name="xls1" hidden="1">{"'Break down'!$A$4"}</definedName>
    <definedName name="xls2" hidden="1">{"'Break down'!$A$4"}</definedName>
    <definedName name="xservices">#REF!</definedName>
    <definedName name="xtllwalls">#REF!</definedName>
    <definedName name="xx" hidden="1">{"'Break down'!$A$4"}</definedName>
    <definedName name="xxx" hidden="1">{#N/A,#N/A,TRUE,"Cover Memo";"Ride Estimate",#N/A,TRUE,"Change Summary";"Ride Estimate",#N/A,TRUE,"Estimate Summary";"Ride Estimate",#N/A,TRUE,"Dept. Summary";"Ride Estimate",#N/A,TRUE,"DOW Detail"}</definedName>
    <definedName name="xz">#REF!</definedName>
    <definedName name="Y">#REF!</definedName>
    <definedName name="yas" hidden="1">#REF!</definedName>
    <definedName name="yasin" hidden="1">#REF!</definedName>
    <definedName name="Year">#REF!</definedName>
    <definedName name="YearEnd">#REF!</definedName>
    <definedName name="YearNo">#REF!</definedName>
    <definedName name="YearStart">#REF!</definedName>
    <definedName name="YearsToStabilizeFX">#REF!</definedName>
    <definedName name="YES">#REF!</definedName>
    <definedName name="yesno">#REF!</definedName>
    <definedName name="YG">#REF!</definedName>
    <definedName name="YH">#REF!</definedName>
    <definedName name="yhrsh" hidden="1">{#N/A,#N/A,TRUE,"Cover";#N/A,#N/A,TRUE,"Conts";#N/A,#N/A,TRUE,"VOS";#N/A,#N/A,TRUE,"Warrington";#N/A,#N/A,TRUE,"Widnes"}</definedName>
    <definedName name="ykhljkdggzsf" hidden="1">{#N/A,#N/A,TRUE,"Cover";#N/A,#N/A,TRUE,"Conts";#N/A,#N/A,TRUE,"VOS";#N/A,#N/A,TRUE,"Warrington";#N/A,#N/A,TRUE,"Widnes"}</definedName>
    <definedName name="ykkllylulf" hidden="1">{#N/A,#N/A,TRUE,"Cover";#N/A,#N/A,TRUE,"Conts";#N/A,#N/A,TRUE,"VOS";#N/A,#N/A,TRUE,"Warrington";#N/A,#N/A,TRUE,"Widnes"}</definedName>
    <definedName name="yrs">#REF!</definedName>
    <definedName name="yrtyet" hidden="1">{#N/A,#N/A,TRUE,"Cover";#N/A,#N/A,TRUE,"Conts";#N/A,#N/A,TRUE,"VOS";#N/A,#N/A,TRUE,"Warrington";#N/A,#N/A,TRUE,"Widnes"}</definedName>
    <definedName name="yry" hidden="1">{#N/A,#N/A,TRUE,"Cover";#N/A,#N/A,TRUE,"Conts";#N/A,#N/A,TRUE,"VOS";#N/A,#N/A,TRUE,"Warrington";#N/A,#N/A,TRUE,"Widnes"}</definedName>
    <definedName name="ytjtyjre" hidden="1">{#N/A,#N/A,TRUE,"Cover";#N/A,#N/A,TRUE,"Conts";#N/A,#N/A,TRUE,"VOS";#N/A,#N/A,TRUE,"Warrington";#N/A,#N/A,TRUE,"Widnes"}</definedName>
    <definedName name="ytuloioio" hidden="1">{#N/A,#N/A,TRUE,"Cover";#N/A,#N/A,TRUE,"Conts";#N/A,#N/A,TRUE,"VOS";#N/A,#N/A,TRUE,"Warrington";#N/A,#N/A,TRUE,"Widnes"}</definedName>
    <definedName name="YU">#REF!</definedName>
    <definedName name="yui" hidden="1">{"'Break down'!$A$4"}</definedName>
    <definedName name="yup" hidden="1">{"'Break down'!$A$4"}</definedName>
    <definedName name="yuti7i78o" hidden="1">{#N/A,#N/A,TRUE,"Cover";#N/A,#N/A,TRUE,"Conts";#N/A,#N/A,TRUE,"VOS";#N/A,#N/A,TRUE,"Warrington";#N/A,#N/A,TRUE,"Widnes"}</definedName>
    <definedName name="yyy" hidden="1">{#N/A,#N/A,TRUE,"Cover";#N/A,#N/A,TRUE,"Conts";#N/A,#N/A,TRUE,"VOS";#N/A,#N/A,TRUE,"Warrington";#N/A,#N/A,TRUE,"Widnes"}</definedName>
    <definedName name="Z">#REF!</definedName>
    <definedName name="Z_2BD578FA_E2CB_4B2F_9A88_B148DA6298A5_.wvu.Cols" hidden="1">#REF!</definedName>
    <definedName name="Z_2BD578FA_E2CB_4B2F_9A88_B148DA6298A5_.wvu.PrintArea" hidden="1">#REF!</definedName>
    <definedName name="Z_E0ACF7AE_80F8_401D_8BF6_C6039677A602_.wvu.Cols" hidden="1">#REF!,#REF!</definedName>
    <definedName name="Z_E0ACF7AE_80F8_401D_8BF6_C6039677A602_.wvu.FilterData" hidden="1">#REF!</definedName>
    <definedName name="Z_E0ACF7AE_80F8_401D_8BF6_C6039677A602_.wvu.PrintArea" hidden="1">#REF!</definedName>
    <definedName name="Z_E0ACF7AE_80F8_401D_8BF6_C6039677A602_.wvu.PrintTitles" hidden="1">#REF!</definedName>
    <definedName name="Z_E0ACF7AE_80F8_401D_8BF6_C6039677A602_.wvu.Rows" hidden="1">#REF!,#REF!,#REF!</definedName>
    <definedName name="zaed" hidden="1">{#N/A,#N/A,TRUE,"Cover";#N/A,#N/A,TRUE,"Conts";#N/A,#N/A,TRUE,"VOS";#N/A,#N/A,TRUE,"Warrington";#N/A,#N/A,TRUE,"Widnes"}</definedName>
    <definedName name="ZBDZBDFB" hidden="1">{#N/A,#N/A,TRUE,"Cover";#N/A,#N/A,TRUE,"Conts";#N/A,#N/A,TRUE,"VOS";#N/A,#N/A,TRUE,"Warrington";#N/A,#N/A,TRUE,"Widnes"}</definedName>
    <definedName name="zhdrt" hidden="1">{"'Break down'!$A$4"}</definedName>
    <definedName name="zndgtt" hidden="1">{"'Break down'!$A$4"}</definedName>
    <definedName name="Zone">#REF!</definedName>
    <definedName name="Zones">#REF!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XC">#REF!</definedName>
    <definedName name="zxgsdfg" hidden="1">{"'Bill No. 7'!$A$1:$G$32"}</definedName>
    <definedName name="zz">#REF!</definedName>
    <definedName name="zzz" hidden="1">{#N/A,#N/A,TRUE,"Cover";#N/A,#N/A,TRUE,"Conts";#N/A,#N/A,TRUE,"VOS";#N/A,#N/A,TRUE,"Warrington";#N/A,#N/A,TRUE,"Widnes"}</definedName>
    <definedName name="zzzzz">#REF!</definedName>
    <definedName name="ㄴㅁㄹㅈㄹ" hidden="1">#REF!</definedName>
    <definedName name="ㄴㅇㄴㅇㄴㅇㄴ" hidden="1">{"'장비'!$A$3:$M$12"}</definedName>
    <definedName name="내역" hidden="1">{#N/A,#N/A,FALSE,"CCTV"}</definedName>
    <definedName name="ㄷㅎㄹㅇ" hidden="1">#REF!</definedName>
    <definedName name="ㅁㄴㅇㅁㄴㅇ" hidden="1">{#N/A,#N/A,FALSE,"CCTV"}</definedName>
    <definedName name="ㅁㄴㅇㅁㄴㅇㅁㄴ" hidden="1">{#N/A,#N/A,FALSE,"CCTV"}</definedName>
    <definedName name="ㅁㄴㅇㅁㄴㅇㅁㄴㅇㅁㄴㅇㅁㄴㅇ" hidden="1">{#N/A,#N/A,FALSE,"CCTV"}</definedName>
    <definedName name="ㅂㅂ" hidden="1">{#N/A,#N/A,FALSE,"CCTV"}</definedName>
    <definedName name="부대공사" hidden="1">#REF!</definedName>
    <definedName name="ㅇㅁㄴㅇㅁㄴㅇ" hidden="1">{#N/A,#N/A,FALSE,"CCTV"}</definedName>
    <definedName name="정리용" hidden="1">{#N/A,#N/A,FALSE,"Tower &amp; Car Park"}</definedName>
    <definedName name="정리용2" hidden="1">{#N/A,#N/A,FALSE,"Tower &amp; Car Park"}</definedName>
    <definedName name="조건2" hidden="1">{#N/A,#N/A,FALSE,"CCTV"}</definedName>
    <definedName name="ㅊㅋㅌㅊㅋㅌㅊㅋㅌㅊ" hidden="1">{"'장비'!$A$3:$M$12"}</definedName>
    <definedName name="찰샇기" hidden="1">#REF!</definedName>
    <definedName name="ㅠ뮤ㅐ" hidden="1">#REF!</definedName>
    <definedName name="我的" hidden="1">{#N/A,#N/A,FALSE,"Tower &amp; Car Park"}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2" l="1"/>
  <c r="M19" i="2"/>
  <c r="N85" i="1"/>
  <c r="O85" i="1" s="1"/>
  <c r="S85" i="1" s="1"/>
  <c r="M85" i="1"/>
  <c r="X44" i="2"/>
  <c r="Z44" i="2" s="1"/>
  <c r="X29" i="2"/>
  <c r="Z29" i="2" s="1"/>
  <c r="N73" i="1"/>
  <c r="M73" i="1"/>
  <c r="M5" i="2"/>
  <c r="AI5" i="2" s="1"/>
  <c r="G5" i="2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G8" i="2"/>
  <c r="M8" i="2"/>
  <c r="G9" i="2"/>
  <c r="M9" i="2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L240" i="1"/>
  <c r="R227" i="1"/>
  <c r="R225" i="1"/>
  <c r="O26" i="15"/>
  <c r="H26" i="15"/>
  <c r="K26" i="15" s="1"/>
  <c r="G26" i="15"/>
  <c r="F26" i="15"/>
  <c r="D26" i="15"/>
  <c r="E26" i="15" s="1"/>
  <c r="O25" i="15"/>
  <c r="H25" i="15"/>
  <c r="K25" i="15" s="1"/>
  <c r="G25" i="15"/>
  <c r="F25" i="15"/>
  <c r="D25" i="15"/>
  <c r="E25" i="15" s="1"/>
  <c r="O24" i="15"/>
  <c r="H24" i="15"/>
  <c r="K24" i="15" s="1"/>
  <c r="G24" i="15"/>
  <c r="F24" i="15"/>
  <c r="D24" i="15"/>
  <c r="E24" i="15" s="1"/>
  <c r="O23" i="15"/>
  <c r="H23" i="15"/>
  <c r="K23" i="15" s="1"/>
  <c r="G23" i="15"/>
  <c r="F23" i="15"/>
  <c r="D23" i="15"/>
  <c r="E23" i="15" s="1"/>
  <c r="O22" i="15"/>
  <c r="H22" i="15"/>
  <c r="K22" i="15" s="1"/>
  <c r="G22" i="15"/>
  <c r="M22" i="15" s="1"/>
  <c r="F22" i="15"/>
  <c r="D22" i="15"/>
  <c r="E22" i="15" s="1"/>
  <c r="O21" i="15"/>
  <c r="H21" i="15"/>
  <c r="K21" i="15" s="1"/>
  <c r="G21" i="15"/>
  <c r="R21" i="15" s="1"/>
  <c r="F21" i="15"/>
  <c r="D21" i="15"/>
  <c r="E21" i="15" s="1"/>
  <c r="O20" i="15"/>
  <c r="H20" i="15"/>
  <c r="K20" i="15" s="1"/>
  <c r="G20" i="15"/>
  <c r="F20" i="15"/>
  <c r="D20" i="15"/>
  <c r="E20" i="15" s="1"/>
  <c r="O19" i="15"/>
  <c r="H19" i="15"/>
  <c r="J19" i="15" s="1"/>
  <c r="G19" i="15"/>
  <c r="F19" i="15"/>
  <c r="D19" i="15"/>
  <c r="E19" i="15" s="1"/>
  <c r="O18" i="15"/>
  <c r="H18" i="15"/>
  <c r="I18" i="15" s="1"/>
  <c r="G18" i="15"/>
  <c r="F18" i="15"/>
  <c r="D18" i="15"/>
  <c r="E18" i="15" s="1"/>
  <c r="O17" i="15"/>
  <c r="H17" i="15"/>
  <c r="I17" i="15" s="1"/>
  <c r="G17" i="15"/>
  <c r="F17" i="15"/>
  <c r="D17" i="15"/>
  <c r="E17" i="15" s="1"/>
  <c r="O16" i="15"/>
  <c r="H16" i="15"/>
  <c r="G16" i="15"/>
  <c r="M16" i="15" s="1"/>
  <c r="F16" i="15"/>
  <c r="D16" i="15"/>
  <c r="E16" i="15" s="1"/>
  <c r="O15" i="15"/>
  <c r="H15" i="15"/>
  <c r="J15" i="15" s="1"/>
  <c r="G15" i="15"/>
  <c r="F15" i="15"/>
  <c r="D15" i="15"/>
  <c r="E15" i="15" s="1"/>
  <c r="O14" i="15"/>
  <c r="H14" i="15"/>
  <c r="K14" i="15" s="1"/>
  <c r="G14" i="15"/>
  <c r="F14" i="15"/>
  <c r="D14" i="15"/>
  <c r="E14" i="15" s="1"/>
  <c r="H13" i="15"/>
  <c r="K13" i="15" s="1"/>
  <c r="G13" i="15"/>
  <c r="F13" i="15"/>
  <c r="D13" i="15"/>
  <c r="E13" i="15" s="1"/>
  <c r="H12" i="15"/>
  <c r="G12" i="15"/>
  <c r="F12" i="15"/>
  <c r="D12" i="15"/>
  <c r="O12" i="15" s="1"/>
  <c r="AB44" i="2" l="1"/>
  <c r="T19" i="2"/>
  <c r="U19" i="2" s="1"/>
  <c r="AI19" i="2"/>
  <c r="AG19" i="2"/>
  <c r="Q19" i="2"/>
  <c r="P19" i="2"/>
  <c r="N19" i="2"/>
  <c r="V85" i="1"/>
  <c r="U85" i="1"/>
  <c r="T85" i="1"/>
  <c r="O73" i="1"/>
  <c r="S73" i="1" s="1"/>
  <c r="T73" i="1" s="1"/>
  <c r="O342" i="1"/>
  <c r="S342" i="1" s="1"/>
  <c r="V342" i="1" s="1"/>
  <c r="O336" i="1"/>
  <c r="S336" i="1" s="1"/>
  <c r="U336" i="1" s="1"/>
  <c r="O341" i="1"/>
  <c r="S341" i="1" s="1"/>
  <c r="U341" i="1" s="1"/>
  <c r="O335" i="1"/>
  <c r="S335" i="1" s="1"/>
  <c r="V335" i="1" s="1"/>
  <c r="O338" i="1"/>
  <c r="S338" i="1" s="1"/>
  <c r="T338" i="1" s="1"/>
  <c r="O339" i="1"/>
  <c r="S339" i="1" s="1"/>
  <c r="O340" i="1"/>
  <c r="S340" i="1" s="1"/>
  <c r="V340" i="1" s="1"/>
  <c r="O337" i="1"/>
  <c r="S337" i="1" s="1"/>
  <c r="AG5" i="2"/>
  <c r="AI9" i="2"/>
  <c r="AG9" i="2"/>
  <c r="AI8" i="2"/>
  <c r="AG8" i="2"/>
  <c r="N23" i="15"/>
  <c r="O332" i="1"/>
  <c r="S332" i="1" s="1"/>
  <c r="V332" i="1" s="1"/>
  <c r="O334" i="1"/>
  <c r="S334" i="1" s="1"/>
  <c r="O333" i="1"/>
  <c r="S333" i="1" s="1"/>
  <c r="P17" i="15"/>
  <c r="P25" i="15"/>
  <c r="R18" i="15"/>
  <c r="Q26" i="15"/>
  <c r="N24" i="15"/>
  <c r="P21" i="15"/>
  <c r="J17" i="15"/>
  <c r="K17" i="15"/>
  <c r="M17" i="15"/>
  <c r="O328" i="1"/>
  <c r="S328" i="1" s="1"/>
  <c r="U328" i="1" s="1"/>
  <c r="O329" i="1"/>
  <c r="S329" i="1" s="1"/>
  <c r="U329" i="1" s="1"/>
  <c r="O330" i="1"/>
  <c r="S330" i="1" s="1"/>
  <c r="T330" i="1" s="1"/>
  <c r="O331" i="1"/>
  <c r="S331" i="1" s="1"/>
  <c r="U331" i="1" s="1"/>
  <c r="R20" i="15"/>
  <c r="M18" i="15"/>
  <c r="N21" i="15"/>
  <c r="O13" i="15"/>
  <c r="N18" i="15"/>
  <c r="Q19" i="15"/>
  <c r="P20" i="15"/>
  <c r="R19" i="15"/>
  <c r="Q17" i="15"/>
  <c r="R17" i="15"/>
  <c r="N20" i="15"/>
  <c r="J13" i="15"/>
  <c r="Q20" i="15"/>
  <c r="N22" i="15"/>
  <c r="K19" i="15"/>
  <c r="R26" i="15"/>
  <c r="M19" i="15"/>
  <c r="P22" i="15"/>
  <c r="P24" i="15"/>
  <c r="N19" i="15"/>
  <c r="Q22" i="15"/>
  <c r="Q24" i="15"/>
  <c r="J18" i="15"/>
  <c r="R22" i="15"/>
  <c r="R24" i="15"/>
  <c r="K18" i="15"/>
  <c r="P19" i="15"/>
  <c r="M21" i="15"/>
  <c r="P18" i="15"/>
  <c r="Q21" i="15"/>
  <c r="P23" i="15"/>
  <c r="Q25" i="15"/>
  <c r="K15" i="15"/>
  <c r="N17" i="15"/>
  <c r="Q18" i="15"/>
  <c r="Q23" i="15"/>
  <c r="R25" i="15"/>
  <c r="M20" i="15"/>
  <c r="R23" i="15"/>
  <c r="R16" i="15"/>
  <c r="Q16" i="15"/>
  <c r="P16" i="15"/>
  <c r="N16" i="15"/>
  <c r="I16" i="15"/>
  <c r="K16" i="15"/>
  <c r="R14" i="15"/>
  <c r="Q14" i="15"/>
  <c r="P14" i="15"/>
  <c r="N14" i="15"/>
  <c r="M14" i="15"/>
  <c r="E12" i="15"/>
  <c r="I14" i="15"/>
  <c r="R12" i="15"/>
  <c r="Q12" i="15"/>
  <c r="P12" i="15"/>
  <c r="N12" i="15"/>
  <c r="L12" i="15"/>
  <c r="J14" i="15"/>
  <c r="J16" i="15"/>
  <c r="K12" i="15"/>
  <c r="J12" i="15"/>
  <c r="I12" i="15"/>
  <c r="M12" i="15" s="1"/>
  <c r="R15" i="15"/>
  <c r="Q15" i="15"/>
  <c r="P15" i="15"/>
  <c r="N15" i="15"/>
  <c r="M15" i="15"/>
  <c r="R13" i="15"/>
  <c r="Q13" i="15"/>
  <c r="P13" i="15"/>
  <c r="N13" i="15"/>
  <c r="L13" i="15"/>
  <c r="I15" i="15"/>
  <c r="I13" i="15"/>
  <c r="I26" i="15"/>
  <c r="I25" i="15"/>
  <c r="J26" i="15"/>
  <c r="I24" i="15"/>
  <c r="J25" i="15"/>
  <c r="I23" i="15"/>
  <c r="J24" i="15"/>
  <c r="I22" i="15"/>
  <c r="J23" i="15"/>
  <c r="L25" i="15"/>
  <c r="M26" i="15"/>
  <c r="I21" i="15"/>
  <c r="J22" i="15"/>
  <c r="L24" i="15"/>
  <c r="N26" i="15"/>
  <c r="I20" i="15"/>
  <c r="J21" i="15"/>
  <c r="N25" i="15"/>
  <c r="I19" i="15"/>
  <c r="J20" i="15"/>
  <c r="M23" i="15"/>
  <c r="P26" i="15"/>
  <c r="L238" i="1"/>
  <c r="R238" i="1" s="1"/>
  <c r="O19" i="2" l="1"/>
  <c r="R19" i="2"/>
  <c r="S19" i="2" s="1"/>
  <c r="W85" i="1"/>
  <c r="Y85" i="1" s="1"/>
  <c r="X85" i="1"/>
  <c r="V73" i="1"/>
  <c r="U73" i="1"/>
  <c r="X73" i="1" s="1"/>
  <c r="T341" i="1"/>
  <c r="X341" i="1" s="1"/>
  <c r="U342" i="1"/>
  <c r="T342" i="1"/>
  <c r="T335" i="1"/>
  <c r="U338" i="1"/>
  <c r="X338" i="1" s="1"/>
  <c r="V338" i="1"/>
  <c r="V336" i="1"/>
  <c r="V341" i="1"/>
  <c r="T336" i="1"/>
  <c r="U335" i="1"/>
  <c r="V339" i="1"/>
  <c r="U339" i="1"/>
  <c r="T339" i="1"/>
  <c r="T340" i="1"/>
  <c r="U340" i="1"/>
  <c r="T337" i="1"/>
  <c r="V337" i="1"/>
  <c r="U337" i="1"/>
  <c r="U330" i="1"/>
  <c r="X330" i="1" s="1"/>
  <c r="T332" i="1"/>
  <c r="U332" i="1"/>
  <c r="V333" i="1"/>
  <c r="U333" i="1"/>
  <c r="T333" i="1"/>
  <c r="V334" i="1"/>
  <c r="U334" i="1"/>
  <c r="T334" i="1"/>
  <c r="T329" i="1"/>
  <c r="X329" i="1" s="1"/>
  <c r="T328" i="1"/>
  <c r="X328" i="1" s="1"/>
  <c r="L15" i="15"/>
  <c r="L19" i="15"/>
  <c r="L17" i="15"/>
  <c r="L26" i="15"/>
  <c r="L22" i="15"/>
  <c r="T331" i="1"/>
  <c r="X331" i="1" s="1"/>
  <c r="V331" i="1"/>
  <c r="V330" i="1"/>
  <c r="V329" i="1"/>
  <c r="V328" i="1"/>
  <c r="L21" i="15"/>
  <c r="M25" i="15"/>
  <c r="M13" i="15"/>
  <c r="L18" i="15"/>
  <c r="L14" i="15"/>
  <c r="M24" i="15"/>
  <c r="L23" i="15"/>
  <c r="L20" i="15"/>
  <c r="L16" i="15"/>
  <c r="L237" i="1"/>
  <c r="R237" i="1" s="1"/>
  <c r="L236" i="1"/>
  <c r="R236" i="1" s="1"/>
  <c r="L232" i="1"/>
  <c r="L235" i="1"/>
  <c r="R235" i="1" s="1"/>
  <c r="L231" i="1"/>
  <c r="L234" i="1"/>
  <c r="R234" i="1" s="1"/>
  <c r="L230" i="1"/>
  <c r="L233" i="1"/>
  <c r="R233" i="1" s="1"/>
  <c r="L229" i="1"/>
  <c r="M37" i="16"/>
  <c r="M36" i="16"/>
  <c r="M3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" i="16"/>
  <c r="M3" i="16"/>
  <c r="M2" i="16"/>
  <c r="J292" i="1"/>
  <c r="N292" i="1" s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12" i="1"/>
  <c r="M12" i="1"/>
  <c r="N24" i="1"/>
  <c r="M24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4" i="1"/>
  <c r="M54" i="1"/>
  <c r="N55" i="1"/>
  <c r="M55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AB46" i="2"/>
  <c r="AB45" i="2"/>
  <c r="AA46" i="2"/>
  <c r="Z46" i="2"/>
  <c r="AA45" i="2"/>
  <c r="Z45" i="2"/>
  <c r="AA44" i="2"/>
  <c r="AD31" i="2"/>
  <c r="AD30" i="2"/>
  <c r="Z31" i="2"/>
  <c r="AA31" i="2"/>
  <c r="AA30" i="2"/>
  <c r="Z30" i="2"/>
  <c r="AD29" i="2"/>
  <c r="AC29" i="2"/>
  <c r="AB29" i="2"/>
  <c r="AA29" i="2"/>
  <c r="J327" i="1"/>
  <c r="M327" i="1" s="1"/>
  <c r="J326" i="1"/>
  <c r="N326" i="1" s="1"/>
  <c r="J325" i="1"/>
  <c r="M325" i="1" s="1"/>
  <c r="J306" i="1"/>
  <c r="N306" i="1" s="1"/>
  <c r="J252" i="1"/>
  <c r="M252" i="1" s="1"/>
  <c r="J220" i="1"/>
  <c r="N220" i="1" s="1"/>
  <c r="J219" i="1"/>
  <c r="N219" i="1" s="1"/>
  <c r="L324" i="1"/>
  <c r="L302" i="1"/>
  <c r="N2" i="1"/>
  <c r="M2" i="1"/>
  <c r="J324" i="1"/>
  <c r="M324" i="1" s="1"/>
  <c r="AJ22" i="2"/>
  <c r="AH22" i="2"/>
  <c r="M38" i="16"/>
  <c r="G6" i="2"/>
  <c r="M6" i="2"/>
  <c r="G4" i="2"/>
  <c r="M4" i="2"/>
  <c r="O10" i="15"/>
  <c r="O9" i="15"/>
  <c r="O8" i="15"/>
  <c r="O7" i="15"/>
  <c r="O6" i="15"/>
  <c r="O5" i="15"/>
  <c r="H11" i="15"/>
  <c r="K11" i="15" s="1"/>
  <c r="G11" i="15"/>
  <c r="F11" i="15"/>
  <c r="D11" i="15"/>
  <c r="E11" i="15" s="1"/>
  <c r="D6" i="15"/>
  <c r="E6" i="15" s="1"/>
  <c r="H10" i="15"/>
  <c r="I10" i="15" s="1"/>
  <c r="H9" i="15"/>
  <c r="J9" i="15" s="1"/>
  <c r="H8" i="15"/>
  <c r="K8" i="15" s="1"/>
  <c r="H7" i="15"/>
  <c r="K7" i="15" s="1"/>
  <c r="H6" i="15"/>
  <c r="J6" i="15" s="1"/>
  <c r="H5" i="15"/>
  <c r="J5" i="15" s="1"/>
  <c r="G10" i="15"/>
  <c r="G9" i="15"/>
  <c r="M9" i="15" s="1"/>
  <c r="G8" i="15"/>
  <c r="M8" i="15" s="1"/>
  <c r="G7" i="15"/>
  <c r="G6" i="15"/>
  <c r="G5" i="15"/>
  <c r="F10" i="15"/>
  <c r="F9" i="15"/>
  <c r="F8" i="15"/>
  <c r="F7" i="15"/>
  <c r="F5" i="15"/>
  <c r="F6" i="15"/>
  <c r="D10" i="15"/>
  <c r="D9" i="15"/>
  <c r="E9" i="15" s="1"/>
  <c r="D8" i="15"/>
  <c r="D7" i="15"/>
  <c r="E7" i="15" s="1"/>
  <c r="D5" i="15"/>
  <c r="E5" i="15" s="1"/>
  <c r="W335" i="1" l="1"/>
  <c r="Y335" i="1" s="1"/>
  <c r="W338" i="1"/>
  <c r="Y338" i="1" s="1"/>
  <c r="W73" i="1"/>
  <c r="Y73" i="1" s="1"/>
  <c r="O71" i="1"/>
  <c r="S71" i="1" s="1"/>
  <c r="O32" i="1"/>
  <c r="S32" i="1" s="1"/>
  <c r="O41" i="1"/>
  <c r="S41" i="1" s="1"/>
  <c r="O42" i="1"/>
  <c r="S42" i="1" s="1"/>
  <c r="O30" i="1"/>
  <c r="S30" i="1" s="1"/>
  <c r="O26" i="1"/>
  <c r="S26" i="1" s="1"/>
  <c r="O27" i="1"/>
  <c r="S27" i="1" s="1"/>
  <c r="O33" i="1"/>
  <c r="S33" i="1" s="1"/>
  <c r="O28" i="1"/>
  <c r="S28" i="1" s="1"/>
  <c r="O31" i="1"/>
  <c r="S31" i="1" s="1"/>
  <c r="O25" i="1"/>
  <c r="S25" i="1" s="1"/>
  <c r="O29" i="1"/>
  <c r="S29" i="1" s="1"/>
  <c r="W341" i="1"/>
  <c r="Y341" i="1" s="1"/>
  <c r="W342" i="1"/>
  <c r="Y342" i="1" s="1"/>
  <c r="X342" i="1"/>
  <c r="W336" i="1"/>
  <c r="Y336" i="1" s="1"/>
  <c r="X336" i="1"/>
  <c r="W339" i="1"/>
  <c r="Y339" i="1" s="1"/>
  <c r="X337" i="1"/>
  <c r="W340" i="1"/>
  <c r="Y340" i="1" s="1"/>
  <c r="X335" i="1"/>
  <c r="X340" i="1"/>
  <c r="X339" i="1"/>
  <c r="W337" i="1"/>
  <c r="Y337" i="1" s="1"/>
  <c r="M219" i="1"/>
  <c r="O219" i="1" s="1"/>
  <c r="S219" i="1" s="1"/>
  <c r="N324" i="1"/>
  <c r="O324" i="1" s="1"/>
  <c r="S324" i="1" s="1"/>
  <c r="W330" i="1"/>
  <c r="Y330" i="1" s="1"/>
  <c r="X332" i="1"/>
  <c r="W332" i="1"/>
  <c r="Y332" i="1" s="1"/>
  <c r="X334" i="1"/>
  <c r="W334" i="1"/>
  <c r="Y334" i="1" s="1"/>
  <c r="X333" i="1"/>
  <c r="W333" i="1"/>
  <c r="Y333" i="1" s="1"/>
  <c r="W328" i="1"/>
  <c r="Y328" i="1" s="1"/>
  <c r="W329" i="1"/>
  <c r="Y329" i="1" s="1"/>
  <c r="W331" i="1"/>
  <c r="Y331" i="1" s="1"/>
  <c r="N10" i="15"/>
  <c r="M326" i="1"/>
  <c r="O326" i="1" s="1"/>
  <c r="S326" i="1" s="1"/>
  <c r="N252" i="1"/>
  <c r="O252" i="1" s="1"/>
  <c r="S252" i="1" s="1"/>
  <c r="N327" i="1"/>
  <c r="O327" i="1" s="1"/>
  <c r="N325" i="1"/>
  <c r="O325" i="1" s="1"/>
  <c r="S325" i="1" s="1"/>
  <c r="M220" i="1"/>
  <c r="O220" i="1" s="1"/>
  <c r="S220" i="1" s="1"/>
  <c r="M292" i="1"/>
  <c r="O292" i="1" s="1"/>
  <c r="S292" i="1" s="1"/>
  <c r="M306" i="1"/>
  <c r="O306" i="1" s="1"/>
  <c r="S306" i="1" s="1"/>
  <c r="O121" i="1"/>
  <c r="S121" i="1" s="1"/>
  <c r="O95" i="1"/>
  <c r="S95" i="1" s="1"/>
  <c r="O113" i="1"/>
  <c r="S113" i="1" s="1"/>
  <c r="O155" i="1"/>
  <c r="S155" i="1" s="1"/>
  <c r="S24" i="1"/>
  <c r="O253" i="1"/>
  <c r="S253" i="1" s="1"/>
  <c r="O297" i="1"/>
  <c r="S297" i="1" s="1"/>
  <c r="O319" i="1"/>
  <c r="O244" i="1"/>
  <c r="S244" i="1" s="1"/>
  <c r="O36" i="1"/>
  <c r="S36" i="1" s="1"/>
  <c r="O101" i="1"/>
  <c r="S101" i="1" s="1"/>
  <c r="O240" i="1"/>
  <c r="S240" i="1" s="1"/>
  <c r="O295" i="1"/>
  <c r="S295" i="1" s="1"/>
  <c r="O100" i="1"/>
  <c r="S100" i="1" s="1"/>
  <c r="O93" i="1"/>
  <c r="S93" i="1" s="1"/>
  <c r="O208" i="1"/>
  <c r="O230" i="1"/>
  <c r="S230" i="1" s="1"/>
  <c r="O309" i="1"/>
  <c r="S309" i="1" s="1"/>
  <c r="S11" i="1"/>
  <c r="S37" i="1"/>
  <c r="O94" i="1"/>
  <c r="S94" i="1" s="1"/>
  <c r="O146" i="1"/>
  <c r="S146" i="1" s="1"/>
  <c r="O154" i="1"/>
  <c r="S154" i="1" s="1"/>
  <c r="O209" i="1"/>
  <c r="O227" i="1"/>
  <c r="S227" i="1" s="1"/>
  <c r="O296" i="1"/>
  <c r="S296" i="1" s="1"/>
  <c r="O300" i="1"/>
  <c r="S300" i="1" s="1"/>
  <c r="O264" i="1"/>
  <c r="S264" i="1" s="1"/>
  <c r="O165" i="1"/>
  <c r="S165" i="1" s="1"/>
  <c r="O92" i="1"/>
  <c r="S92" i="1" s="1"/>
  <c r="O245" i="1"/>
  <c r="S245" i="1" s="1"/>
  <c r="O308" i="1"/>
  <c r="S308" i="1" s="1"/>
  <c r="O153" i="1"/>
  <c r="S153" i="1" s="1"/>
  <c r="S46" i="1"/>
  <c r="O62" i="1"/>
  <c r="S62" i="1" s="1"/>
  <c r="O147" i="1"/>
  <c r="S147" i="1" s="1"/>
  <c r="O53" i="1"/>
  <c r="S53" i="1" s="1"/>
  <c r="O163" i="1"/>
  <c r="S163" i="1" s="1"/>
  <c r="O67" i="1"/>
  <c r="S67" i="1" s="1"/>
  <c r="O167" i="1"/>
  <c r="S167" i="1" s="1"/>
  <c r="O237" i="1"/>
  <c r="S237" i="1" s="1"/>
  <c r="O90" i="1"/>
  <c r="S90" i="1" s="1"/>
  <c r="O205" i="1"/>
  <c r="O301" i="1"/>
  <c r="S301" i="1" s="1"/>
  <c r="O120" i="1"/>
  <c r="S120" i="1" s="1"/>
  <c r="S137" i="1"/>
  <c r="S145" i="1"/>
  <c r="O169" i="1"/>
  <c r="S169" i="1" s="1"/>
  <c r="O191" i="1"/>
  <c r="O288" i="1"/>
  <c r="S288" i="1" s="1"/>
  <c r="O51" i="1"/>
  <c r="S51" i="1" s="1"/>
  <c r="S5" i="1"/>
  <c r="S21" i="1"/>
  <c r="S38" i="1"/>
  <c r="O87" i="1"/>
  <c r="S87" i="1" s="1"/>
  <c r="O162" i="1"/>
  <c r="S162" i="1" s="1"/>
  <c r="O202" i="1"/>
  <c r="S202" i="1" s="1"/>
  <c r="O267" i="1"/>
  <c r="S267" i="1" s="1"/>
  <c r="O289" i="1"/>
  <c r="S289" i="1" s="1"/>
  <c r="O305" i="1"/>
  <c r="S305" i="1" s="1"/>
  <c r="S18" i="1"/>
  <c r="S135" i="1"/>
  <c r="O215" i="1"/>
  <c r="S215" i="1" s="1"/>
  <c r="O239" i="1"/>
  <c r="S239" i="1" s="1"/>
  <c r="O63" i="1"/>
  <c r="S63" i="1" s="1"/>
  <c r="O96" i="1"/>
  <c r="S96" i="1" s="1"/>
  <c r="S12" i="1"/>
  <c r="O290" i="1"/>
  <c r="S290" i="1" s="1"/>
  <c r="O312" i="1"/>
  <c r="S312" i="1" s="1"/>
  <c r="O234" i="1"/>
  <c r="S234" i="1" s="1"/>
  <c r="O262" i="1"/>
  <c r="S262" i="1" s="1"/>
  <c r="O313" i="1"/>
  <c r="S313" i="1" s="1"/>
  <c r="O243" i="1"/>
  <c r="S243" i="1" s="1"/>
  <c r="O17" i="1"/>
  <c r="S17" i="1" s="1"/>
  <c r="O82" i="1"/>
  <c r="S82" i="1" s="1"/>
  <c r="O166" i="1"/>
  <c r="S166" i="1" s="1"/>
  <c r="O206" i="1"/>
  <c r="O214" i="1"/>
  <c r="S214" i="1" s="1"/>
  <c r="O293" i="1"/>
  <c r="S293" i="1" s="1"/>
  <c r="O307" i="1"/>
  <c r="S307" i="1" s="1"/>
  <c r="O35" i="1"/>
  <c r="S35" i="1" s="1"/>
  <c r="S59" i="1"/>
  <c r="O83" i="1"/>
  <c r="S83" i="1" s="1"/>
  <c r="O118" i="1"/>
  <c r="S118" i="1" s="1"/>
  <c r="S143" i="1"/>
  <c r="O152" i="1"/>
  <c r="S152" i="1" s="1"/>
  <c r="O189" i="1"/>
  <c r="S189" i="1" s="1"/>
  <c r="O197" i="1"/>
  <c r="S197" i="1" s="1"/>
  <c r="O207" i="1"/>
  <c r="O316" i="1"/>
  <c r="O247" i="1"/>
  <c r="S247" i="1" s="1"/>
  <c r="O248" i="1"/>
  <c r="S248" i="1" s="1"/>
  <c r="O314" i="1"/>
  <c r="O50" i="1"/>
  <c r="S50" i="1" s="1"/>
  <c r="O174" i="1"/>
  <c r="S174" i="1" s="1"/>
  <c r="O89" i="1"/>
  <c r="S89" i="1" s="1"/>
  <c r="O269" i="1"/>
  <c r="S269" i="1" s="1"/>
  <c r="O99" i="1"/>
  <c r="S99" i="1" s="1"/>
  <c r="S142" i="1"/>
  <c r="S3" i="1"/>
  <c r="S10" i="1"/>
  <c r="O19" i="1"/>
  <c r="S19" i="1" s="1"/>
  <c r="O44" i="1"/>
  <c r="S44" i="1" s="1"/>
  <c r="O52" i="1"/>
  <c r="S52" i="1" s="1"/>
  <c r="O60" i="1"/>
  <c r="S60" i="1" s="1"/>
  <c r="O68" i="1"/>
  <c r="S68" i="1" s="1"/>
  <c r="O76" i="1"/>
  <c r="S76" i="1" s="1"/>
  <c r="O84" i="1"/>
  <c r="S84" i="1" s="1"/>
  <c r="O119" i="1"/>
  <c r="S119" i="1" s="1"/>
  <c r="S136" i="1"/>
  <c r="S144" i="1"/>
  <c r="O190" i="1"/>
  <c r="O238" i="1"/>
  <c r="S238" i="1" s="1"/>
  <c r="O251" i="1"/>
  <c r="S251" i="1" s="1"/>
  <c r="O287" i="1"/>
  <c r="S287" i="1" s="1"/>
  <c r="O303" i="1"/>
  <c r="S303" i="1" s="1"/>
  <c r="O317" i="1"/>
  <c r="S317" i="1" s="1"/>
  <c r="O204" i="1"/>
  <c r="O242" i="1"/>
  <c r="S242" i="1" s="1"/>
  <c r="O58" i="1"/>
  <c r="S58" i="1" s="1"/>
  <c r="O117" i="1"/>
  <c r="S117" i="1" s="1"/>
  <c r="O268" i="1"/>
  <c r="S268" i="1" s="1"/>
  <c r="O188" i="1"/>
  <c r="Q188" i="1" s="1"/>
  <c r="S4" i="1"/>
  <c r="O45" i="1"/>
  <c r="S45" i="1" s="1"/>
  <c r="O61" i="1"/>
  <c r="S61" i="1" s="1"/>
  <c r="O69" i="1"/>
  <c r="S69" i="1" s="1"/>
  <c r="O86" i="1"/>
  <c r="S86" i="1" s="1"/>
  <c r="S13" i="1"/>
  <c r="O55" i="1"/>
  <c r="S55" i="1" s="1"/>
  <c r="O70" i="1"/>
  <c r="S70" i="1" s="1"/>
  <c r="O78" i="1"/>
  <c r="S78" i="1" s="1"/>
  <c r="O130" i="1"/>
  <c r="S130" i="1" s="1"/>
  <c r="O138" i="1"/>
  <c r="S138" i="1" s="1"/>
  <c r="O192" i="1"/>
  <c r="S192" i="1" s="1"/>
  <c r="O212" i="1"/>
  <c r="S212" i="1" s="1"/>
  <c r="O255" i="1"/>
  <c r="S255" i="1" s="1"/>
  <c r="O213" i="1"/>
  <c r="S213" i="1" s="1"/>
  <c r="O34" i="1"/>
  <c r="S34" i="1" s="1"/>
  <c r="O151" i="1"/>
  <c r="S151" i="1" s="1"/>
  <c r="O196" i="1"/>
  <c r="S196" i="1" s="1"/>
  <c r="S20" i="1"/>
  <c r="O77" i="1"/>
  <c r="S77" i="1" s="1"/>
  <c r="O235" i="1"/>
  <c r="S235" i="1" s="1"/>
  <c r="O161" i="1"/>
  <c r="S161" i="1" s="1"/>
  <c r="O249" i="1"/>
  <c r="S249" i="1" s="1"/>
  <c r="O250" i="1"/>
  <c r="S250" i="1" s="1"/>
  <c r="O265" i="1"/>
  <c r="S265" i="1" s="1"/>
  <c r="O294" i="1"/>
  <c r="S294" i="1" s="1"/>
  <c r="O298" i="1"/>
  <c r="S298" i="1" s="1"/>
  <c r="O22" i="1"/>
  <c r="S22" i="1" s="1"/>
  <c r="O54" i="1"/>
  <c r="S54" i="1" s="1"/>
  <c r="O88" i="1"/>
  <c r="S88" i="1" s="1"/>
  <c r="O114" i="1"/>
  <c r="S114" i="1" s="1"/>
  <c r="O139" i="1"/>
  <c r="S139" i="1" s="1"/>
  <c r="O148" i="1"/>
  <c r="S148" i="1" s="1"/>
  <c r="O231" i="1"/>
  <c r="S231" i="1" s="1"/>
  <c r="O299" i="1"/>
  <c r="S299" i="1" s="1"/>
  <c r="S129" i="1"/>
  <c r="O6" i="1"/>
  <c r="S6" i="1" s="1"/>
  <c r="O48" i="1"/>
  <c r="S48" i="1" s="1"/>
  <c r="O97" i="1"/>
  <c r="S97" i="1" s="1"/>
  <c r="O64" i="1"/>
  <c r="S64" i="1" s="1"/>
  <c r="O72" i="1"/>
  <c r="S72" i="1" s="1"/>
  <c r="O123" i="1"/>
  <c r="S123" i="1" s="1"/>
  <c r="O132" i="1"/>
  <c r="S132" i="1" s="1"/>
  <c r="O149" i="1"/>
  <c r="S149" i="1" s="1"/>
  <c r="O164" i="1"/>
  <c r="S164" i="1" s="1"/>
  <c r="O186" i="1"/>
  <c r="S186" i="1" s="1"/>
  <c r="O194" i="1"/>
  <c r="S194" i="1" s="1"/>
  <c r="O318" i="1"/>
  <c r="S318" i="1" s="1"/>
  <c r="O57" i="1"/>
  <c r="S57" i="1" s="1"/>
  <c r="O65" i="1"/>
  <c r="S65" i="1" s="1"/>
  <c r="O98" i="1"/>
  <c r="S98" i="1" s="1"/>
  <c r="O116" i="1"/>
  <c r="S116" i="1" s="1"/>
  <c r="O124" i="1"/>
  <c r="S124" i="1" s="1"/>
  <c r="O141" i="1"/>
  <c r="S141" i="1" s="1"/>
  <c r="O150" i="1"/>
  <c r="S150" i="1" s="1"/>
  <c r="O181" i="1"/>
  <c r="S181" i="1" s="1"/>
  <c r="O187" i="1"/>
  <c r="Q187" i="1" s="1"/>
  <c r="O233" i="1"/>
  <c r="S233" i="1" s="1"/>
  <c r="O311" i="1"/>
  <c r="S311" i="1" s="1"/>
  <c r="O246" i="1"/>
  <c r="S246" i="1" s="1"/>
  <c r="O128" i="1"/>
  <c r="S128" i="1" s="1"/>
  <c r="O160" i="1"/>
  <c r="S160" i="1" s="1"/>
  <c r="O236" i="1"/>
  <c r="S236" i="1" s="1"/>
  <c r="O225" i="1"/>
  <c r="S225" i="1" s="1"/>
  <c r="O315" i="1"/>
  <c r="O15" i="1"/>
  <c r="S15" i="1" s="1"/>
  <c r="S23" i="1"/>
  <c r="S40" i="1"/>
  <c r="O56" i="1"/>
  <c r="S56" i="1" s="1"/>
  <c r="O80" i="1"/>
  <c r="S80" i="1" s="1"/>
  <c r="O115" i="1"/>
  <c r="S115" i="1" s="1"/>
  <c r="S140" i="1"/>
  <c r="O157" i="1"/>
  <c r="S157" i="1" s="1"/>
  <c r="O180" i="1"/>
  <c r="S180" i="1" s="1"/>
  <c r="O310" i="1"/>
  <c r="S310" i="1" s="1"/>
  <c r="O66" i="1"/>
  <c r="S66" i="1" s="1"/>
  <c r="S134" i="1"/>
  <c r="S14" i="1"/>
  <c r="S39" i="1"/>
  <c r="S47" i="1"/>
  <c r="O79" i="1"/>
  <c r="S79" i="1" s="1"/>
  <c r="O122" i="1"/>
  <c r="S122" i="1" s="1"/>
  <c r="O131" i="1"/>
  <c r="S131" i="1" s="1"/>
  <c r="O156" i="1"/>
  <c r="S156" i="1" s="1"/>
  <c r="O193" i="1"/>
  <c r="S193" i="1" s="1"/>
  <c r="S7" i="1"/>
  <c r="S16" i="1"/>
  <c r="O49" i="1"/>
  <c r="S49" i="1" s="1"/>
  <c r="O74" i="1"/>
  <c r="S74" i="1" s="1"/>
  <c r="O81" i="1"/>
  <c r="S81" i="1" s="1"/>
  <c r="S133" i="1"/>
  <c r="O195" i="1"/>
  <c r="Q195" i="1" s="1"/>
  <c r="O8" i="1"/>
  <c r="S8" i="1" s="1"/>
  <c r="O125" i="1"/>
  <c r="S125" i="1" s="1"/>
  <c r="O158" i="1"/>
  <c r="S158" i="1" s="1"/>
  <c r="S9" i="1"/>
  <c r="O43" i="1"/>
  <c r="S43" i="1" s="1"/>
  <c r="O75" i="1"/>
  <c r="S75" i="1" s="1"/>
  <c r="O126" i="1"/>
  <c r="S126" i="1" s="1"/>
  <c r="O127" i="1"/>
  <c r="S127" i="1" s="1"/>
  <c r="O159" i="1"/>
  <c r="S159" i="1" s="1"/>
  <c r="O182" i="1"/>
  <c r="S182" i="1" s="1"/>
  <c r="O272" i="1"/>
  <c r="S272" i="1" s="1"/>
  <c r="O266" i="1"/>
  <c r="S266" i="1" s="1"/>
  <c r="O280" i="1"/>
  <c r="S280" i="1" s="1"/>
  <c r="O216" i="1"/>
  <c r="S216" i="1" s="1"/>
  <c r="O302" i="1"/>
  <c r="S302" i="1" s="1"/>
  <c r="O218" i="1"/>
  <c r="S218" i="1" s="1"/>
  <c r="O277" i="1"/>
  <c r="S277" i="1" s="1"/>
  <c r="O241" i="1"/>
  <c r="S241" i="1" s="1"/>
  <c r="O273" i="1"/>
  <c r="S273" i="1" s="1"/>
  <c r="O282" i="1"/>
  <c r="S282" i="1" s="1"/>
  <c r="O275" i="1"/>
  <c r="S275" i="1" s="1"/>
  <c r="O276" i="1"/>
  <c r="S276" i="1" s="1"/>
  <c r="O263" i="1"/>
  <c r="S263" i="1" s="1"/>
  <c r="O278" i="1"/>
  <c r="S278" i="1" s="1"/>
  <c r="O217" i="1"/>
  <c r="S217" i="1" s="1"/>
  <c r="N5" i="2" s="1"/>
  <c r="O271" i="1"/>
  <c r="S271" i="1" s="1"/>
  <c r="O281" i="1"/>
  <c r="S281" i="1" s="1"/>
  <c r="O274" i="1"/>
  <c r="S274" i="1" s="1"/>
  <c r="O183" i="1"/>
  <c r="S183" i="1" s="1"/>
  <c r="O283" i="1"/>
  <c r="S283" i="1" s="1"/>
  <c r="O184" i="1"/>
  <c r="S184" i="1" s="1"/>
  <c r="O284" i="1"/>
  <c r="S284" i="1" s="1"/>
  <c r="O279" i="1"/>
  <c r="S279" i="1" s="1"/>
  <c r="O185" i="1"/>
  <c r="S185" i="1" s="1"/>
  <c r="O291" i="1"/>
  <c r="O254" i="1"/>
  <c r="S254" i="1" s="1"/>
  <c r="S2" i="1"/>
  <c r="R6" i="15"/>
  <c r="R5" i="15"/>
  <c r="R7" i="15"/>
  <c r="N11" i="15"/>
  <c r="R8" i="15"/>
  <c r="AI6" i="2"/>
  <c r="AG6" i="2"/>
  <c r="AI4" i="2"/>
  <c r="AG4" i="2"/>
  <c r="R10" i="15"/>
  <c r="P5" i="15"/>
  <c r="Q6" i="15"/>
  <c r="R11" i="15"/>
  <c r="P6" i="15"/>
  <c r="Q7" i="15"/>
  <c r="N5" i="15"/>
  <c r="P7" i="15"/>
  <c r="Q8" i="15"/>
  <c r="N6" i="15"/>
  <c r="P8" i="15"/>
  <c r="Q9" i="15"/>
  <c r="N7" i="15"/>
  <c r="P9" i="15"/>
  <c r="Q10" i="15"/>
  <c r="N8" i="15"/>
  <c r="P10" i="15"/>
  <c r="Q11" i="15"/>
  <c r="N9" i="15"/>
  <c r="P11" i="15"/>
  <c r="R9" i="15"/>
  <c r="O11" i="15"/>
  <c r="Q5" i="15"/>
  <c r="I11" i="15"/>
  <c r="J11" i="15"/>
  <c r="M10" i="15"/>
  <c r="L5" i="15"/>
  <c r="M7" i="15"/>
  <c r="J8" i="15"/>
  <c r="K5" i="15"/>
  <c r="I5" i="15"/>
  <c r="I6" i="15"/>
  <c r="K6" i="15"/>
  <c r="J7" i="15"/>
  <c r="I7" i="15"/>
  <c r="I8" i="15"/>
  <c r="I9" i="15"/>
  <c r="K9" i="15"/>
  <c r="K10" i="15"/>
  <c r="J10" i="15"/>
  <c r="E8" i="15"/>
  <c r="E10" i="15"/>
  <c r="O5" i="2" l="1"/>
  <c r="V292" i="1"/>
  <c r="U292" i="1"/>
  <c r="T292" i="1"/>
  <c r="U306" i="1"/>
  <c r="V306" i="1"/>
  <c r="T306" i="1"/>
  <c r="U98" i="1"/>
  <c r="T98" i="1"/>
  <c r="V98" i="1"/>
  <c r="T225" i="1"/>
  <c r="U225" i="1"/>
  <c r="V225" i="1"/>
  <c r="U235" i="1"/>
  <c r="T235" i="1"/>
  <c r="V235" i="1"/>
  <c r="V155" i="1"/>
  <c r="U155" i="1"/>
  <c r="T155" i="1"/>
  <c r="U54" i="1"/>
  <c r="T54" i="1"/>
  <c r="V54" i="1"/>
  <c r="V19" i="1"/>
  <c r="U19" i="1"/>
  <c r="T19" i="1"/>
  <c r="U267" i="1"/>
  <c r="T267" i="1"/>
  <c r="V267" i="1"/>
  <c r="V227" i="1"/>
  <c r="T227" i="1"/>
  <c r="U227" i="1"/>
  <c r="V180" i="1"/>
  <c r="U180" i="1"/>
  <c r="T180" i="1"/>
  <c r="U72" i="1"/>
  <c r="T72" i="1"/>
  <c r="V72" i="1"/>
  <c r="U138" i="1"/>
  <c r="T138" i="1"/>
  <c r="V138" i="1"/>
  <c r="U202" i="1"/>
  <c r="V202" i="1"/>
  <c r="T202" i="1"/>
  <c r="T302" i="1"/>
  <c r="V302" i="1"/>
  <c r="U302" i="1"/>
  <c r="U81" i="1"/>
  <c r="V81" i="1"/>
  <c r="T81" i="1"/>
  <c r="V128" i="1"/>
  <c r="U128" i="1"/>
  <c r="T128" i="1"/>
  <c r="V290" i="1"/>
  <c r="U290" i="1"/>
  <c r="T290" i="1"/>
  <c r="V324" i="1"/>
  <c r="U324" i="1"/>
  <c r="T324" i="1"/>
  <c r="V159" i="1"/>
  <c r="U159" i="1"/>
  <c r="T159" i="1"/>
  <c r="V144" i="1"/>
  <c r="U144" i="1"/>
  <c r="T144" i="1"/>
  <c r="V67" i="1"/>
  <c r="T67" i="1"/>
  <c r="U67" i="1"/>
  <c r="T146" i="1"/>
  <c r="V146" i="1"/>
  <c r="U146" i="1"/>
  <c r="V271" i="1"/>
  <c r="T271" i="1"/>
  <c r="U271" i="1"/>
  <c r="U41" i="1"/>
  <c r="T41" i="1"/>
  <c r="V41" i="1"/>
  <c r="V151" i="1"/>
  <c r="T151" i="1"/>
  <c r="U151" i="1"/>
  <c r="U101" i="1"/>
  <c r="T101" i="1"/>
  <c r="V101" i="1"/>
  <c r="U217" i="1"/>
  <c r="V217" i="1"/>
  <c r="T217" i="1"/>
  <c r="U39" i="1"/>
  <c r="T39" i="1"/>
  <c r="V39" i="1"/>
  <c r="U165" i="1"/>
  <c r="V165" i="1"/>
  <c r="T165" i="1"/>
  <c r="U266" i="1"/>
  <c r="T266" i="1"/>
  <c r="V266" i="1"/>
  <c r="V184" i="1"/>
  <c r="U184" i="1"/>
  <c r="T184" i="1"/>
  <c r="T192" i="1"/>
  <c r="V192" i="1"/>
  <c r="U192" i="1"/>
  <c r="V44" i="1"/>
  <c r="U44" i="1"/>
  <c r="T44" i="1"/>
  <c r="V289" i="1"/>
  <c r="U289" i="1"/>
  <c r="T289" i="1"/>
  <c r="U277" i="1"/>
  <c r="V277" i="1"/>
  <c r="T277" i="1"/>
  <c r="V236" i="1"/>
  <c r="U236" i="1"/>
  <c r="T236" i="1"/>
  <c r="U247" i="1"/>
  <c r="T247" i="1"/>
  <c r="V247" i="1"/>
  <c r="V288" i="1"/>
  <c r="U288" i="1"/>
  <c r="T288" i="1"/>
  <c r="V100" i="1"/>
  <c r="U100" i="1"/>
  <c r="T100" i="1"/>
  <c r="V218" i="1"/>
  <c r="T218" i="1"/>
  <c r="U218" i="1"/>
  <c r="U122" i="1"/>
  <c r="T122" i="1"/>
  <c r="V122" i="1"/>
  <c r="V129" i="1"/>
  <c r="U129" i="1"/>
  <c r="T129" i="1"/>
  <c r="V272" i="1"/>
  <c r="T272" i="1"/>
  <c r="U272" i="1"/>
  <c r="V157" i="1"/>
  <c r="U157" i="1"/>
  <c r="T157" i="1"/>
  <c r="V32" i="1"/>
  <c r="T32" i="1"/>
  <c r="U32" i="1"/>
  <c r="V20" i="1"/>
  <c r="T20" i="1"/>
  <c r="U20" i="1"/>
  <c r="U3" i="1"/>
  <c r="T3" i="1"/>
  <c r="V3" i="1"/>
  <c r="V293" i="1"/>
  <c r="T293" i="1"/>
  <c r="U293" i="1"/>
  <c r="T162" i="1"/>
  <c r="V162" i="1"/>
  <c r="U162" i="1"/>
  <c r="V167" i="1"/>
  <c r="U167" i="1"/>
  <c r="T167" i="1"/>
  <c r="V245" i="1"/>
  <c r="T245" i="1"/>
  <c r="U245" i="1"/>
  <c r="V281" i="1"/>
  <c r="U281" i="1"/>
  <c r="T281" i="1"/>
  <c r="U74" i="1"/>
  <c r="T74" i="1"/>
  <c r="V74" i="1"/>
  <c r="V25" i="1"/>
  <c r="U25" i="1"/>
  <c r="T25" i="1"/>
  <c r="V169" i="1"/>
  <c r="U169" i="1"/>
  <c r="T169" i="1"/>
  <c r="U95" i="1"/>
  <c r="V95" i="1"/>
  <c r="T95" i="1"/>
  <c r="U42" i="1"/>
  <c r="V42" i="1"/>
  <c r="T42" i="1"/>
  <c r="V318" i="1"/>
  <c r="T318" i="1"/>
  <c r="U318" i="1"/>
  <c r="V70" i="1"/>
  <c r="U70" i="1"/>
  <c r="T70" i="1"/>
  <c r="V197" i="1"/>
  <c r="T197" i="1"/>
  <c r="U197" i="1"/>
  <c r="T92" i="1"/>
  <c r="V92" i="1"/>
  <c r="U92" i="1"/>
  <c r="V140" i="1"/>
  <c r="U140" i="1"/>
  <c r="T140" i="1"/>
  <c r="V55" i="1"/>
  <c r="U55" i="1"/>
  <c r="T55" i="1"/>
  <c r="U16" i="1"/>
  <c r="T16" i="1"/>
  <c r="V16" i="1"/>
  <c r="V64" i="1"/>
  <c r="T64" i="1"/>
  <c r="U64" i="1"/>
  <c r="U13" i="1"/>
  <c r="V13" i="1"/>
  <c r="T13" i="1"/>
  <c r="V37" i="1"/>
  <c r="T37" i="1"/>
  <c r="U37" i="1"/>
  <c r="U278" i="1"/>
  <c r="T278" i="1"/>
  <c r="V278" i="1"/>
  <c r="U14" i="1"/>
  <c r="V14" i="1"/>
  <c r="T14" i="1"/>
  <c r="V186" i="1"/>
  <c r="U186" i="1"/>
  <c r="T186" i="1"/>
  <c r="V137" i="1"/>
  <c r="U137" i="1"/>
  <c r="T137" i="1"/>
  <c r="U126" i="1"/>
  <c r="T126" i="1"/>
  <c r="V126" i="1"/>
  <c r="V164" i="1"/>
  <c r="U164" i="1"/>
  <c r="T164" i="1"/>
  <c r="V276" i="1"/>
  <c r="T276" i="1"/>
  <c r="U276" i="1"/>
  <c r="U80" i="1"/>
  <c r="V80" i="1"/>
  <c r="T80" i="1"/>
  <c r="V34" i="1"/>
  <c r="T34" i="1"/>
  <c r="U34" i="1"/>
  <c r="T119" i="1"/>
  <c r="U119" i="1"/>
  <c r="V119" i="1"/>
  <c r="T75" i="1"/>
  <c r="V75" i="1"/>
  <c r="U75" i="1"/>
  <c r="U134" i="1"/>
  <c r="T134" i="1"/>
  <c r="V134" i="1"/>
  <c r="V303" i="1"/>
  <c r="U303" i="1"/>
  <c r="T303" i="1"/>
  <c r="U174" i="1"/>
  <c r="T174" i="1"/>
  <c r="V174" i="1"/>
  <c r="V82" i="1"/>
  <c r="T82" i="1"/>
  <c r="U82" i="1"/>
  <c r="V87" i="1"/>
  <c r="U87" i="1"/>
  <c r="T87" i="1"/>
  <c r="V120" i="1"/>
  <c r="T120" i="1"/>
  <c r="U120" i="1"/>
  <c r="V29" i="1"/>
  <c r="T29" i="1"/>
  <c r="U29" i="1"/>
  <c r="U264" i="1"/>
  <c r="T264" i="1"/>
  <c r="V264" i="1"/>
  <c r="V43" i="1"/>
  <c r="U43" i="1"/>
  <c r="T43" i="1"/>
  <c r="V66" i="1"/>
  <c r="T66" i="1"/>
  <c r="U66" i="1"/>
  <c r="V40" i="1"/>
  <c r="U40" i="1"/>
  <c r="T40" i="1"/>
  <c r="U48" i="1"/>
  <c r="V48" i="1"/>
  <c r="T48" i="1"/>
  <c r="V139" i="1"/>
  <c r="U139" i="1"/>
  <c r="T139" i="1"/>
  <c r="U213" i="1"/>
  <c r="T213" i="1"/>
  <c r="V213" i="1"/>
  <c r="V45" i="1"/>
  <c r="U45" i="1"/>
  <c r="T45" i="1"/>
  <c r="U76" i="1"/>
  <c r="V76" i="1"/>
  <c r="T76" i="1"/>
  <c r="V17" i="1"/>
  <c r="T17" i="1"/>
  <c r="U17" i="1"/>
  <c r="V135" i="1"/>
  <c r="U135" i="1"/>
  <c r="T135" i="1"/>
  <c r="V38" i="1"/>
  <c r="U38" i="1"/>
  <c r="T38" i="1"/>
  <c r="V325" i="1"/>
  <c r="U325" i="1"/>
  <c r="T325" i="1"/>
  <c r="U185" i="1"/>
  <c r="V185" i="1"/>
  <c r="T185" i="1"/>
  <c r="T9" i="1"/>
  <c r="U9" i="1"/>
  <c r="V9" i="1"/>
  <c r="V310" i="1"/>
  <c r="T310" i="1"/>
  <c r="U310" i="1"/>
  <c r="U23" i="1"/>
  <c r="V23" i="1"/>
  <c r="T23" i="1"/>
  <c r="V141" i="1"/>
  <c r="U141" i="1"/>
  <c r="T141" i="1"/>
  <c r="U6" i="1"/>
  <c r="T6" i="1"/>
  <c r="V6" i="1"/>
  <c r="V4" i="1"/>
  <c r="T4" i="1"/>
  <c r="U4" i="1"/>
  <c r="U287" i="1"/>
  <c r="V287" i="1"/>
  <c r="T287" i="1"/>
  <c r="V68" i="1"/>
  <c r="T68" i="1"/>
  <c r="U68" i="1"/>
  <c r="V50" i="1"/>
  <c r="T50" i="1"/>
  <c r="U50" i="1"/>
  <c r="V118" i="1"/>
  <c r="T118" i="1"/>
  <c r="U118" i="1"/>
  <c r="V243" i="1"/>
  <c r="T243" i="1"/>
  <c r="U243" i="1"/>
  <c r="V18" i="1"/>
  <c r="U18" i="1"/>
  <c r="T18" i="1"/>
  <c r="V21" i="1"/>
  <c r="U21" i="1"/>
  <c r="T21" i="1"/>
  <c r="V28" i="1"/>
  <c r="U28" i="1"/>
  <c r="T28" i="1"/>
  <c r="U300" i="1"/>
  <c r="V300" i="1"/>
  <c r="T300" i="1"/>
  <c r="V297" i="1"/>
  <c r="U297" i="1"/>
  <c r="T297" i="1"/>
  <c r="T241" i="1"/>
  <c r="V241" i="1"/>
  <c r="U241" i="1"/>
  <c r="U26" i="1"/>
  <c r="T26" i="1"/>
  <c r="V26" i="1"/>
  <c r="V35" i="1"/>
  <c r="U35" i="1"/>
  <c r="T35" i="1"/>
  <c r="V51" i="1"/>
  <c r="U51" i="1"/>
  <c r="T51" i="1"/>
  <c r="T46" i="1"/>
  <c r="U46" i="1"/>
  <c r="V46" i="1"/>
  <c r="U283" i="1"/>
  <c r="T283" i="1"/>
  <c r="V283" i="1"/>
  <c r="U123" i="1"/>
  <c r="T123" i="1"/>
  <c r="V123" i="1"/>
  <c r="U268" i="1"/>
  <c r="T268" i="1"/>
  <c r="V268" i="1"/>
  <c r="U312" i="1"/>
  <c r="T312" i="1"/>
  <c r="V312" i="1"/>
  <c r="U125" i="1"/>
  <c r="V125" i="1"/>
  <c r="T125" i="1"/>
  <c r="T160" i="1"/>
  <c r="U160" i="1"/>
  <c r="V160" i="1"/>
  <c r="V31" i="1"/>
  <c r="T31" i="1"/>
  <c r="U31" i="1"/>
  <c r="U10" i="1"/>
  <c r="V10" i="1"/>
  <c r="T10" i="1"/>
  <c r="V308" i="1"/>
  <c r="U308" i="1"/>
  <c r="T308" i="1"/>
  <c r="V182" i="1"/>
  <c r="T182" i="1"/>
  <c r="U182" i="1"/>
  <c r="U299" i="1"/>
  <c r="V299" i="1"/>
  <c r="T299" i="1"/>
  <c r="V117" i="1"/>
  <c r="T117" i="1"/>
  <c r="U117" i="1"/>
  <c r="V12" i="1"/>
  <c r="T12" i="1"/>
  <c r="U12" i="1"/>
  <c r="V295" i="1"/>
  <c r="T295" i="1"/>
  <c r="U295" i="1"/>
  <c r="U216" i="1"/>
  <c r="V216" i="1"/>
  <c r="T216" i="1"/>
  <c r="U49" i="1"/>
  <c r="V49" i="1"/>
  <c r="T49" i="1"/>
  <c r="V311" i="1"/>
  <c r="U311" i="1"/>
  <c r="T311" i="1"/>
  <c r="T298" i="1"/>
  <c r="U298" i="1"/>
  <c r="V298" i="1"/>
  <c r="U58" i="1"/>
  <c r="V58" i="1"/>
  <c r="T58" i="1"/>
  <c r="V30" i="1"/>
  <c r="T30" i="1"/>
  <c r="U30" i="1"/>
  <c r="U8" i="1"/>
  <c r="T8" i="1"/>
  <c r="V8" i="1"/>
  <c r="U233" i="1"/>
  <c r="V233" i="1"/>
  <c r="T233" i="1"/>
  <c r="V294" i="1"/>
  <c r="T294" i="1"/>
  <c r="U294" i="1"/>
  <c r="V136" i="1"/>
  <c r="U136" i="1"/>
  <c r="T136" i="1"/>
  <c r="U214" i="1"/>
  <c r="T214" i="1"/>
  <c r="V214" i="1"/>
  <c r="V121" i="1"/>
  <c r="U121" i="1"/>
  <c r="T121" i="1"/>
  <c r="V127" i="1"/>
  <c r="U127" i="1"/>
  <c r="T127" i="1"/>
  <c r="U7" i="1"/>
  <c r="V7" i="1"/>
  <c r="T7" i="1"/>
  <c r="U181" i="1"/>
  <c r="T181" i="1"/>
  <c r="V181" i="1"/>
  <c r="T265" i="1"/>
  <c r="V265" i="1"/>
  <c r="U265" i="1"/>
  <c r="V166" i="1"/>
  <c r="U166" i="1"/>
  <c r="T166" i="1"/>
  <c r="V244" i="1"/>
  <c r="T244" i="1"/>
  <c r="U244" i="1"/>
  <c r="V219" i="1"/>
  <c r="T219" i="1"/>
  <c r="U219" i="1"/>
  <c r="T193" i="1"/>
  <c r="V193" i="1"/>
  <c r="U193" i="1"/>
  <c r="T250" i="1"/>
  <c r="U250" i="1"/>
  <c r="V250" i="1"/>
  <c r="V86" i="1"/>
  <c r="T86" i="1"/>
  <c r="U86" i="1"/>
  <c r="U63" i="1"/>
  <c r="V63" i="1"/>
  <c r="T63" i="1"/>
  <c r="V309" i="1"/>
  <c r="T309" i="1"/>
  <c r="U309" i="1"/>
  <c r="V2" i="1"/>
  <c r="T2" i="1"/>
  <c r="U2" i="1"/>
  <c r="U156" i="1"/>
  <c r="V156" i="1"/>
  <c r="T156" i="1"/>
  <c r="V150" i="1"/>
  <c r="T150" i="1"/>
  <c r="U150" i="1"/>
  <c r="V69" i="1"/>
  <c r="T69" i="1"/>
  <c r="U69" i="1"/>
  <c r="V89" i="1"/>
  <c r="T89" i="1"/>
  <c r="U89" i="1"/>
  <c r="T239" i="1"/>
  <c r="V239" i="1"/>
  <c r="U239" i="1"/>
  <c r="V53" i="1"/>
  <c r="T53" i="1"/>
  <c r="U53" i="1"/>
  <c r="T230" i="1"/>
  <c r="V230" i="1"/>
  <c r="U230" i="1"/>
  <c r="T254" i="1"/>
  <c r="U254" i="1"/>
  <c r="V254" i="1"/>
  <c r="V56" i="1"/>
  <c r="U56" i="1"/>
  <c r="T56" i="1"/>
  <c r="U97" i="1"/>
  <c r="T97" i="1"/>
  <c r="V97" i="1"/>
  <c r="U61" i="1"/>
  <c r="V61" i="1"/>
  <c r="T61" i="1"/>
  <c r="U252" i="1"/>
  <c r="T252" i="1"/>
  <c r="V252" i="1"/>
  <c r="T282" i="1"/>
  <c r="V282" i="1"/>
  <c r="U282" i="1"/>
  <c r="U158" i="1"/>
  <c r="T158" i="1"/>
  <c r="V158" i="1"/>
  <c r="V15" i="1"/>
  <c r="U15" i="1"/>
  <c r="T15" i="1"/>
  <c r="U124" i="1"/>
  <c r="V124" i="1"/>
  <c r="T124" i="1"/>
  <c r="T132" i="1"/>
  <c r="V132" i="1"/>
  <c r="U132" i="1"/>
  <c r="V255" i="1"/>
  <c r="U255" i="1"/>
  <c r="T255" i="1"/>
  <c r="U251" i="1"/>
  <c r="T251" i="1"/>
  <c r="V251" i="1"/>
  <c r="U60" i="1"/>
  <c r="V60" i="1"/>
  <c r="T60" i="1"/>
  <c r="V83" i="1"/>
  <c r="T83" i="1"/>
  <c r="U83" i="1"/>
  <c r="T313" i="1"/>
  <c r="V313" i="1"/>
  <c r="U313" i="1"/>
  <c r="U305" i="1"/>
  <c r="T305" i="1"/>
  <c r="V305" i="1"/>
  <c r="V5" i="1"/>
  <c r="U5" i="1"/>
  <c r="T5" i="1"/>
  <c r="T147" i="1"/>
  <c r="V147" i="1"/>
  <c r="U147" i="1"/>
  <c r="V296" i="1"/>
  <c r="T296" i="1"/>
  <c r="U296" i="1"/>
  <c r="T253" i="1"/>
  <c r="V253" i="1"/>
  <c r="U253" i="1"/>
  <c r="U88" i="1"/>
  <c r="T88" i="1"/>
  <c r="V88" i="1"/>
  <c r="U234" i="1"/>
  <c r="V234" i="1"/>
  <c r="T234" i="1"/>
  <c r="U93" i="1"/>
  <c r="V93" i="1"/>
  <c r="T93" i="1"/>
  <c r="V65" i="1"/>
  <c r="T65" i="1"/>
  <c r="U65" i="1"/>
  <c r="V307" i="1"/>
  <c r="U307" i="1"/>
  <c r="T307" i="1"/>
  <c r="V90" i="1"/>
  <c r="T90" i="1"/>
  <c r="U90" i="1"/>
  <c r="V153" i="1"/>
  <c r="U153" i="1"/>
  <c r="T153" i="1"/>
  <c r="V183" i="1"/>
  <c r="T183" i="1"/>
  <c r="U183" i="1"/>
  <c r="V57" i="1"/>
  <c r="T57" i="1"/>
  <c r="U57" i="1"/>
  <c r="T77" i="1"/>
  <c r="V77" i="1"/>
  <c r="U77" i="1"/>
  <c r="V237" i="1"/>
  <c r="U237" i="1"/>
  <c r="T237" i="1"/>
  <c r="V274" i="1"/>
  <c r="U274" i="1"/>
  <c r="T274" i="1"/>
  <c r="V33" i="1"/>
  <c r="T33" i="1"/>
  <c r="U33" i="1"/>
  <c r="U22" i="1"/>
  <c r="T22" i="1"/>
  <c r="V22" i="1"/>
  <c r="V130" i="1"/>
  <c r="U130" i="1"/>
  <c r="T130" i="1"/>
  <c r="V113" i="1"/>
  <c r="T113" i="1"/>
  <c r="U113" i="1"/>
  <c r="U79" i="1"/>
  <c r="V79" i="1"/>
  <c r="T79" i="1"/>
  <c r="U246" i="1"/>
  <c r="V246" i="1"/>
  <c r="T246" i="1"/>
  <c r="U78" i="1"/>
  <c r="V78" i="1"/>
  <c r="T78" i="1"/>
  <c r="V142" i="1"/>
  <c r="U142" i="1"/>
  <c r="T142" i="1"/>
  <c r="V154" i="1"/>
  <c r="T154" i="1"/>
  <c r="U154" i="1"/>
  <c r="U71" i="1"/>
  <c r="T71" i="1"/>
  <c r="V71" i="1"/>
  <c r="V196" i="1"/>
  <c r="T196" i="1"/>
  <c r="U196" i="1"/>
  <c r="V99" i="1"/>
  <c r="U99" i="1"/>
  <c r="T99" i="1"/>
  <c r="T240" i="1"/>
  <c r="V240" i="1"/>
  <c r="U240" i="1"/>
  <c r="V280" i="1"/>
  <c r="T280" i="1"/>
  <c r="U280" i="1"/>
  <c r="T47" i="1"/>
  <c r="U47" i="1"/>
  <c r="V47" i="1"/>
  <c r="T231" i="1"/>
  <c r="V231" i="1"/>
  <c r="U231" i="1"/>
  <c r="V242" i="1"/>
  <c r="T242" i="1"/>
  <c r="U242" i="1"/>
  <c r="T189" i="1"/>
  <c r="V189" i="1"/>
  <c r="U189" i="1"/>
  <c r="U27" i="1"/>
  <c r="T27" i="1"/>
  <c r="V27" i="1"/>
  <c r="V94" i="1"/>
  <c r="U94" i="1"/>
  <c r="T94" i="1"/>
  <c r="T194" i="1"/>
  <c r="V194" i="1"/>
  <c r="U194" i="1"/>
  <c r="V152" i="1"/>
  <c r="T152" i="1"/>
  <c r="U152" i="1"/>
  <c r="V145" i="1"/>
  <c r="T145" i="1"/>
  <c r="U145" i="1"/>
  <c r="T36" i="1"/>
  <c r="V36" i="1"/>
  <c r="U36" i="1"/>
  <c r="V115" i="1"/>
  <c r="U115" i="1"/>
  <c r="T115" i="1"/>
  <c r="U269" i="1"/>
  <c r="T269" i="1"/>
  <c r="V269" i="1"/>
  <c r="V96" i="1"/>
  <c r="U96" i="1"/>
  <c r="T96" i="1"/>
  <c r="U11" i="1"/>
  <c r="T11" i="1"/>
  <c r="V11" i="1"/>
  <c r="U263" i="1"/>
  <c r="T263" i="1"/>
  <c r="V263" i="1"/>
  <c r="V148" i="1"/>
  <c r="U148" i="1"/>
  <c r="T148" i="1"/>
  <c r="T163" i="1"/>
  <c r="U163" i="1"/>
  <c r="V163" i="1"/>
  <c r="T149" i="1"/>
  <c r="V149" i="1"/>
  <c r="U149" i="1"/>
  <c r="V317" i="1"/>
  <c r="T317" i="1"/>
  <c r="U317" i="1"/>
  <c r="V143" i="1"/>
  <c r="U143" i="1"/>
  <c r="T143" i="1"/>
  <c r="V220" i="1"/>
  <c r="U220" i="1"/>
  <c r="T220" i="1"/>
  <c r="U249" i="1"/>
  <c r="T249" i="1"/>
  <c r="V249" i="1"/>
  <c r="V84" i="1"/>
  <c r="T84" i="1"/>
  <c r="U84" i="1"/>
  <c r="T215" i="1"/>
  <c r="U215" i="1"/>
  <c r="V215" i="1"/>
  <c r="U275" i="1"/>
  <c r="V275" i="1"/>
  <c r="T275" i="1"/>
  <c r="U161" i="1"/>
  <c r="T161" i="1"/>
  <c r="V161" i="1"/>
  <c r="T279" i="1"/>
  <c r="V279" i="1"/>
  <c r="U279" i="1"/>
  <c r="T284" i="1"/>
  <c r="U284" i="1"/>
  <c r="V284" i="1"/>
  <c r="V273" i="1"/>
  <c r="T273" i="1"/>
  <c r="U273" i="1"/>
  <c r="V326" i="1"/>
  <c r="U326" i="1"/>
  <c r="T326" i="1"/>
  <c r="U133" i="1"/>
  <c r="T133" i="1"/>
  <c r="V133" i="1"/>
  <c r="U131" i="1"/>
  <c r="T131" i="1"/>
  <c r="V131" i="1"/>
  <c r="V116" i="1"/>
  <c r="U116" i="1"/>
  <c r="T116" i="1"/>
  <c r="V114" i="1"/>
  <c r="U114" i="1"/>
  <c r="T114" i="1"/>
  <c r="U212" i="1"/>
  <c r="T212" i="1"/>
  <c r="V212" i="1"/>
  <c r="V238" i="1"/>
  <c r="U238" i="1"/>
  <c r="T238" i="1"/>
  <c r="U52" i="1"/>
  <c r="V52" i="1"/>
  <c r="T52" i="1"/>
  <c r="U248" i="1"/>
  <c r="V248" i="1"/>
  <c r="T248" i="1"/>
  <c r="V59" i="1"/>
  <c r="U59" i="1"/>
  <c r="T59" i="1"/>
  <c r="V262" i="1"/>
  <c r="U262" i="1"/>
  <c r="T262" i="1"/>
  <c r="U301" i="1"/>
  <c r="T301" i="1"/>
  <c r="V301" i="1"/>
  <c r="U62" i="1"/>
  <c r="V62" i="1"/>
  <c r="T62" i="1"/>
  <c r="V24" i="1"/>
  <c r="U24" i="1"/>
  <c r="T24" i="1"/>
  <c r="S190" i="1"/>
  <c r="S191" i="1"/>
  <c r="S188" i="1"/>
  <c r="S187" i="1"/>
  <c r="S195" i="1"/>
  <c r="S327" i="1"/>
  <c r="N4" i="2"/>
  <c r="O4" i="2" s="1"/>
  <c r="O27" i="15"/>
  <c r="M6" i="15"/>
  <c r="N27" i="15" s="1"/>
  <c r="S27" i="15" s="1"/>
  <c r="M11" i="15"/>
  <c r="L11" i="15"/>
  <c r="P27" i="15"/>
  <c r="Q27" i="15"/>
  <c r="L8" i="15"/>
  <c r="R27" i="15"/>
  <c r="M5" i="15"/>
  <c r="L9" i="15"/>
  <c r="L7" i="15"/>
  <c r="E27" i="15"/>
  <c r="L6" i="15"/>
  <c r="L10" i="15"/>
  <c r="P5" i="2" l="1"/>
  <c r="Q5" i="2"/>
  <c r="T5" i="2"/>
  <c r="U5" i="2" s="1"/>
  <c r="T190" i="1"/>
  <c r="U190" i="1"/>
  <c r="V190" i="1"/>
  <c r="T195" i="1"/>
  <c r="U195" i="1"/>
  <c r="V195" i="1"/>
  <c r="U187" i="1"/>
  <c r="T187" i="1"/>
  <c r="V187" i="1"/>
  <c r="T191" i="1"/>
  <c r="U191" i="1"/>
  <c r="V191" i="1"/>
  <c r="V327" i="1"/>
  <c r="T6" i="2" s="1"/>
  <c r="U327" i="1"/>
  <c r="T327" i="1"/>
  <c r="U188" i="1"/>
  <c r="T188" i="1"/>
  <c r="V188" i="1"/>
  <c r="N6" i="2"/>
  <c r="O6" i="2" s="1"/>
  <c r="T27" i="15"/>
  <c r="AA27" i="15" s="1"/>
  <c r="M27" i="15"/>
  <c r="W27" i="15" s="1"/>
  <c r="L27" i="15"/>
  <c r="V27" i="15" s="1"/>
  <c r="P6" i="2" l="1"/>
  <c r="X327" i="1"/>
  <c r="W327" i="1"/>
  <c r="Y327" i="1" s="1"/>
  <c r="Q6" i="2"/>
  <c r="Q4" i="2"/>
  <c r="T4" i="2"/>
  <c r="U4" i="2" s="1"/>
  <c r="U6" i="2"/>
  <c r="P4" i="2"/>
  <c r="W326" i="1"/>
  <c r="Y326" i="1" s="1"/>
  <c r="X325" i="1"/>
  <c r="X326" i="1"/>
  <c r="W325" i="1"/>
  <c r="Y325" i="1" s="1"/>
  <c r="X27" i="15"/>
  <c r="U27" i="15"/>
  <c r="Y27" i="15" l="1"/>
  <c r="Z27" i="15" s="1"/>
  <c r="AM22" i="2" s="1"/>
  <c r="AN22" i="2" l="1"/>
  <c r="AO22" i="2"/>
  <c r="W324" i="1"/>
  <c r="Y324" i="1" s="1"/>
  <c r="X324" i="1"/>
  <c r="L323" i="1" l="1"/>
  <c r="L322" i="1"/>
  <c r="L321" i="1"/>
  <c r="L320" i="1"/>
  <c r="O321" i="1" l="1"/>
  <c r="S321" i="1" s="1"/>
  <c r="O320" i="1"/>
  <c r="S320" i="1" s="1"/>
  <c r="O322" i="1"/>
  <c r="S322" i="1" s="1"/>
  <c r="O323" i="1"/>
  <c r="S323" i="1" s="1"/>
  <c r="V322" i="1" l="1"/>
  <c r="U322" i="1"/>
  <c r="T322" i="1"/>
  <c r="V323" i="1"/>
  <c r="U323" i="1"/>
  <c r="T323" i="1"/>
  <c r="V320" i="1"/>
  <c r="T320" i="1"/>
  <c r="U320" i="1"/>
  <c r="V321" i="1"/>
  <c r="U321" i="1"/>
  <c r="T321" i="1"/>
  <c r="L304" i="1"/>
  <c r="O304" i="1" s="1"/>
  <c r="S304" i="1" s="1"/>
  <c r="T304" i="1" l="1"/>
  <c r="U304" i="1"/>
  <c r="V304" i="1"/>
  <c r="W322" i="1"/>
  <c r="Y322" i="1" s="1"/>
  <c r="X320" i="1"/>
  <c r="X321" i="1"/>
  <c r="W321" i="1"/>
  <c r="Y321" i="1" s="1"/>
  <c r="W323" i="1"/>
  <c r="Y323" i="1" s="1"/>
  <c r="W320" i="1"/>
  <c r="Y320" i="1" s="1"/>
  <c r="X323" i="1"/>
  <c r="X322" i="1"/>
  <c r="G12" i="2"/>
  <c r="M12" i="2"/>
  <c r="G11" i="2"/>
  <c r="M11" i="2"/>
  <c r="G3" i="2"/>
  <c r="M3" i="2"/>
  <c r="G7" i="2"/>
  <c r="M7" i="2"/>
  <c r="G10" i="2"/>
  <c r="M10" i="2"/>
  <c r="G13" i="2"/>
  <c r="M13" i="2"/>
  <c r="G14" i="2"/>
  <c r="M14" i="2"/>
  <c r="G15" i="2"/>
  <c r="M15" i="2"/>
  <c r="G16" i="2"/>
  <c r="M16" i="2"/>
  <c r="G17" i="2"/>
  <c r="M17" i="2"/>
  <c r="G18" i="2"/>
  <c r="M18" i="2"/>
  <c r="G20" i="2"/>
  <c r="M20" i="2"/>
  <c r="AG12" i="2" l="1"/>
  <c r="AG11" i="2"/>
  <c r="AI12" i="2"/>
  <c r="AI11" i="2"/>
  <c r="AI18" i="2"/>
  <c r="AG18" i="2"/>
  <c r="AG13" i="2"/>
  <c r="AG7" i="2"/>
  <c r="AI14" i="2"/>
  <c r="AG14" i="2"/>
  <c r="AI17" i="2"/>
  <c r="AG17" i="2"/>
  <c r="AI20" i="2"/>
  <c r="AI3" i="2"/>
  <c r="AG20" i="2"/>
  <c r="AG3" i="2"/>
  <c r="AI10" i="2"/>
  <c r="AG10" i="2"/>
  <c r="AG16" i="2"/>
  <c r="AI16" i="2"/>
  <c r="AI7" i="2"/>
  <c r="AI15" i="2"/>
  <c r="AG15" i="2"/>
  <c r="AI13" i="2"/>
  <c r="L261" i="1" l="1"/>
  <c r="R261" i="1" s="1"/>
  <c r="L260" i="1"/>
  <c r="R260" i="1" s="1"/>
  <c r="Q319" i="1"/>
  <c r="Q316" i="1"/>
  <c r="S316" i="1" s="1"/>
  <c r="Q315" i="1"/>
  <c r="Q314" i="1"/>
  <c r="Q209" i="1"/>
  <c r="S209" i="1" s="1"/>
  <c r="Q208" i="1"/>
  <c r="S208" i="1" s="1"/>
  <c r="Q207" i="1"/>
  <c r="S207" i="1" s="1"/>
  <c r="Q206" i="1"/>
  <c r="S206" i="1" s="1"/>
  <c r="Q205" i="1"/>
  <c r="S205" i="1" s="1"/>
  <c r="Q204" i="1"/>
  <c r="S204" i="1" s="1"/>
  <c r="N9" i="2" s="1"/>
  <c r="G2" i="2"/>
  <c r="O9" i="2" l="1"/>
  <c r="V206" i="1"/>
  <c r="T206" i="1"/>
  <c r="U206" i="1"/>
  <c r="T316" i="1"/>
  <c r="V316" i="1"/>
  <c r="U316" i="1"/>
  <c r="T204" i="1"/>
  <c r="V204" i="1"/>
  <c r="U204" i="1"/>
  <c r="V205" i="1"/>
  <c r="T205" i="1"/>
  <c r="U205" i="1"/>
  <c r="V207" i="1"/>
  <c r="T207" i="1"/>
  <c r="U207" i="1"/>
  <c r="V208" i="1"/>
  <c r="T208" i="1"/>
  <c r="U208" i="1"/>
  <c r="V209" i="1"/>
  <c r="T209" i="1"/>
  <c r="U209" i="1"/>
  <c r="S314" i="1"/>
  <c r="S315" i="1"/>
  <c r="S319" i="1"/>
  <c r="N10" i="2"/>
  <c r="N12" i="2"/>
  <c r="O260" i="1"/>
  <c r="S260" i="1" s="1"/>
  <c r="O261" i="1"/>
  <c r="S261" i="1" s="1"/>
  <c r="T9" i="2" l="1"/>
  <c r="U9" i="2" s="1"/>
  <c r="Q9" i="2"/>
  <c r="P9" i="2"/>
  <c r="U261" i="1"/>
  <c r="V261" i="1"/>
  <c r="T261" i="1"/>
  <c r="V260" i="1"/>
  <c r="U260" i="1"/>
  <c r="T260" i="1"/>
  <c r="U315" i="1"/>
  <c r="T315" i="1"/>
  <c r="V315" i="1"/>
  <c r="V319" i="1"/>
  <c r="T319" i="1"/>
  <c r="U319" i="1"/>
  <c r="U314" i="1"/>
  <c r="T314" i="1"/>
  <c r="V314" i="1"/>
  <c r="T12" i="2"/>
  <c r="Q12" i="2"/>
  <c r="P12" i="2"/>
  <c r="P10" i="2"/>
  <c r="Q10" i="2"/>
  <c r="T10" i="2"/>
  <c r="X308" i="1"/>
  <c r="X312" i="1"/>
  <c r="W317" i="1"/>
  <c r="Y317" i="1" s="1"/>
  <c r="W308" i="1"/>
  <c r="Y308" i="1" s="1"/>
  <c r="X318" i="1"/>
  <c r="W318" i="1"/>
  <c r="Y318" i="1" s="1"/>
  <c r="W311" i="1"/>
  <c r="Y311" i="1" s="1"/>
  <c r="W310" i="1"/>
  <c r="Y310" i="1" s="1"/>
  <c r="W313" i="1"/>
  <c r="Y313" i="1" s="1"/>
  <c r="W312" i="1"/>
  <c r="Y312" i="1" s="1"/>
  <c r="X316" i="1"/>
  <c r="W316" i="1"/>
  <c r="Y316" i="1" s="1"/>
  <c r="X310" i="1"/>
  <c r="X317" i="1"/>
  <c r="X311" i="1"/>
  <c r="X309" i="1"/>
  <c r="W309" i="1"/>
  <c r="Y309" i="1" s="1"/>
  <c r="X313" i="1"/>
  <c r="W82" i="1"/>
  <c r="Y82" i="1" s="1"/>
  <c r="X82" i="1"/>
  <c r="W80" i="1"/>
  <c r="Y80" i="1" s="1"/>
  <c r="X80" i="1"/>
  <c r="W77" i="1"/>
  <c r="Y77" i="1" s="1"/>
  <c r="X77" i="1"/>
  <c r="W46" i="1"/>
  <c r="Y46" i="1" s="1"/>
  <c r="X46" i="1"/>
  <c r="X307" i="1"/>
  <c r="W307" i="1"/>
  <c r="Y307" i="1" s="1"/>
  <c r="W306" i="1"/>
  <c r="Y306" i="1" s="1"/>
  <c r="X306" i="1"/>
  <c r="X319" i="1" l="1"/>
  <c r="W315" i="1"/>
  <c r="Y315" i="1" s="1"/>
  <c r="X315" i="1"/>
  <c r="X314" i="1"/>
  <c r="W319" i="1"/>
  <c r="Y319" i="1" s="1"/>
  <c r="W314" i="1"/>
  <c r="Y314" i="1" s="1"/>
  <c r="S33" i="2"/>
  <c r="N14" i="2" l="1"/>
  <c r="O14" i="2" s="1"/>
  <c r="N3" i="2"/>
  <c r="O3" i="2" s="1"/>
  <c r="X261" i="1"/>
  <c r="W261" i="1"/>
  <c r="Y261" i="1" s="1"/>
  <c r="X260" i="1"/>
  <c r="W260" i="1"/>
  <c r="Y260" i="1" s="1"/>
  <c r="P3" i="2"/>
  <c r="P14" i="2" l="1"/>
  <c r="T3" i="2"/>
  <c r="Q3" i="2"/>
  <c r="T14" i="2"/>
  <c r="Q14" i="2"/>
  <c r="X133" i="1"/>
  <c r="W133" i="1"/>
  <c r="Y133" i="1" s="1"/>
  <c r="X305" i="1"/>
  <c r="W305" i="1"/>
  <c r="Y305" i="1" s="1"/>
  <c r="W303" i="1"/>
  <c r="Y303" i="1" s="1"/>
  <c r="X303" i="1"/>
  <c r="X304" i="1"/>
  <c r="W304" i="1"/>
  <c r="Y304" i="1" s="1"/>
  <c r="W302" i="1"/>
  <c r="Y302" i="1" s="1"/>
  <c r="X302" i="1"/>
  <c r="P19" i="13"/>
  <c r="O19" i="13"/>
  <c r="U3" i="2" l="1"/>
  <c r="U14" i="2"/>
  <c r="W301" i="1"/>
  <c r="Y301" i="1" s="1"/>
  <c r="X301" i="1"/>
  <c r="W300" i="1" l="1"/>
  <c r="Y300" i="1" s="1"/>
  <c r="W299" i="1"/>
  <c r="Y299" i="1" s="1"/>
  <c r="X299" i="1"/>
  <c r="X300" i="1"/>
  <c r="G6" i="16"/>
  <c r="H6" i="16" s="1"/>
  <c r="I6" i="16" l="1"/>
  <c r="X3" i="1"/>
  <c r="W3" i="1"/>
  <c r="Y3" i="1" s="1"/>
  <c r="N6" i="16"/>
  <c r="J6" i="16"/>
  <c r="K6" i="16"/>
  <c r="X298" i="1" l="1"/>
  <c r="L6" i="16"/>
  <c r="O6" i="16" s="1"/>
  <c r="P6" i="16" s="1"/>
  <c r="W298" i="1"/>
  <c r="Y298" i="1" s="1"/>
  <c r="W20" i="1"/>
  <c r="Y20" i="1" s="1"/>
  <c r="X20" i="1"/>
  <c r="AC47" i="2" l="1"/>
  <c r="AB47" i="2"/>
  <c r="AD47" i="2"/>
  <c r="AA47" i="2"/>
  <c r="Z47" i="2"/>
  <c r="M2" i="2"/>
  <c r="AC32" i="2"/>
  <c r="AB32" i="2"/>
  <c r="AD32" i="2"/>
  <c r="AA32" i="2"/>
  <c r="Z32" i="2"/>
  <c r="H29" i="16"/>
  <c r="I29" i="16" s="1"/>
  <c r="H28" i="16"/>
  <c r="I28" i="16" s="1"/>
  <c r="H27" i="16"/>
  <c r="I27" i="16" s="1"/>
  <c r="H26" i="16"/>
  <c r="I26" i="16" s="1"/>
  <c r="H25" i="16"/>
  <c r="I25" i="16" s="1"/>
  <c r="H24" i="16"/>
  <c r="I24" i="16" s="1"/>
  <c r="H14" i="16"/>
  <c r="I14" i="16" s="1"/>
  <c r="H13" i="16"/>
  <c r="I13" i="16" s="1"/>
  <c r="H11" i="16"/>
  <c r="I11" i="16" s="1"/>
  <c r="H10" i="16"/>
  <c r="I10" i="16" s="1"/>
  <c r="H8" i="16"/>
  <c r="I8" i="16" s="1"/>
  <c r="H7" i="16"/>
  <c r="I7" i="16" s="1"/>
  <c r="K7" i="16" s="1"/>
  <c r="H5" i="16"/>
  <c r="I5" i="16" s="1"/>
  <c r="H4" i="16"/>
  <c r="I4" i="16" s="1"/>
  <c r="L286" i="1"/>
  <c r="L285" i="1"/>
  <c r="L228" i="1"/>
  <c r="L112" i="1"/>
  <c r="L111" i="1"/>
  <c r="L110" i="1"/>
  <c r="L109" i="1"/>
  <c r="L108" i="1"/>
  <c r="L107" i="1"/>
  <c r="L106" i="1"/>
  <c r="L105" i="1"/>
  <c r="L104" i="1"/>
  <c r="L103" i="1"/>
  <c r="L270" i="1"/>
  <c r="O83" i="13"/>
  <c r="P83" i="13" s="1"/>
  <c r="Q83" i="13"/>
  <c r="T83" i="13"/>
  <c r="M83" i="13" s="1"/>
  <c r="S83" i="13"/>
  <c r="R83" i="13"/>
  <c r="O82" i="13"/>
  <c r="Q82" i="13" s="1"/>
  <c r="T82" i="13" s="1"/>
  <c r="M82" i="13" s="1"/>
  <c r="S82" i="13"/>
  <c r="R82" i="13"/>
  <c r="P82" i="13"/>
  <c r="K82" i="13"/>
  <c r="O81" i="13"/>
  <c r="S81" i="13" s="1"/>
  <c r="Q81" i="13"/>
  <c r="T81" i="13" s="1"/>
  <c r="M81" i="13" s="1"/>
  <c r="R81" i="13"/>
  <c r="O80" i="13"/>
  <c r="Q80" i="13"/>
  <c r="T80" i="13" s="1"/>
  <c r="M80" i="13" s="1"/>
  <c r="S80" i="13"/>
  <c r="R80" i="13"/>
  <c r="P80" i="13"/>
  <c r="L80" i="13"/>
  <c r="K80" i="13"/>
  <c r="O79" i="13"/>
  <c r="Q79" i="13"/>
  <c r="T79" i="13"/>
  <c r="M79" i="13" s="1"/>
  <c r="S79" i="13"/>
  <c r="R79" i="13"/>
  <c r="P79" i="13"/>
  <c r="O78" i="13"/>
  <c r="Q78" i="13"/>
  <c r="T78" i="13"/>
  <c r="S78" i="13"/>
  <c r="R78" i="13"/>
  <c r="P78" i="13"/>
  <c r="M78" i="13"/>
  <c r="O77" i="13"/>
  <c r="Q77" i="13"/>
  <c r="T77" i="13"/>
  <c r="S77" i="13"/>
  <c r="R77" i="13"/>
  <c r="P77" i="13"/>
  <c r="M77" i="13"/>
  <c r="O76" i="13"/>
  <c r="P76" i="13" s="1"/>
  <c r="Q76" i="13"/>
  <c r="T76" i="13"/>
  <c r="M76" i="13" s="1"/>
  <c r="S76" i="13"/>
  <c r="R76" i="13"/>
  <c r="O75" i="13"/>
  <c r="Q75" i="13" s="1"/>
  <c r="T75" i="13" s="1"/>
  <c r="M75" i="13" s="1"/>
  <c r="S75" i="13"/>
  <c r="R75" i="13"/>
  <c r="O74" i="13"/>
  <c r="S74" i="13" s="1"/>
  <c r="Q74" i="13"/>
  <c r="T74" i="13"/>
  <c r="M74" i="13" s="1"/>
  <c r="R74" i="13"/>
  <c r="O73" i="13"/>
  <c r="S73" i="13"/>
  <c r="T73" i="13"/>
  <c r="R73" i="13"/>
  <c r="Q73" i="13"/>
  <c r="P73" i="13"/>
  <c r="M73" i="13"/>
  <c r="K73" i="13"/>
  <c r="O72" i="13"/>
  <c r="S72" i="13" s="1"/>
  <c r="R72" i="13"/>
  <c r="K72" i="13"/>
  <c r="O59" i="13"/>
  <c r="S59" i="13" s="1"/>
  <c r="Q59" i="13"/>
  <c r="T59" i="13" s="1"/>
  <c r="M59" i="13" s="1"/>
  <c r="R59" i="13"/>
  <c r="O58" i="13"/>
  <c r="Q58" i="13"/>
  <c r="T58" i="13" s="1"/>
  <c r="M58" i="13" s="1"/>
  <c r="S58" i="13"/>
  <c r="R58" i="13"/>
  <c r="P58" i="13"/>
  <c r="K58" i="13"/>
  <c r="O57" i="13"/>
  <c r="Q57" i="13" s="1"/>
  <c r="T57" i="13" s="1"/>
  <c r="M57" i="13" s="1"/>
  <c r="S57" i="13"/>
  <c r="R57" i="13"/>
  <c r="P57" i="13"/>
  <c r="O56" i="13"/>
  <c r="Q56" i="13"/>
  <c r="T56" i="13"/>
  <c r="S56" i="13"/>
  <c r="R56" i="13"/>
  <c r="P56" i="13"/>
  <c r="M56" i="13"/>
  <c r="O55" i="13"/>
  <c r="Q55" i="13"/>
  <c r="T55" i="13"/>
  <c r="S55" i="13"/>
  <c r="R55" i="13"/>
  <c r="P55" i="13"/>
  <c r="M55" i="13"/>
  <c r="O54" i="13"/>
  <c r="P54" i="13" s="1"/>
  <c r="Q54" i="13"/>
  <c r="T54" i="13"/>
  <c r="M54" i="13" s="1"/>
  <c r="S54" i="13"/>
  <c r="R54" i="13"/>
  <c r="O53" i="13"/>
  <c r="Q53" i="13" s="1"/>
  <c r="T53" i="13" s="1"/>
  <c r="M53" i="13" s="1"/>
  <c r="S53" i="13"/>
  <c r="R53" i="13"/>
  <c r="K53" i="13"/>
  <c r="O52" i="13"/>
  <c r="S52" i="13" s="1"/>
  <c r="Q52" i="13"/>
  <c r="T52" i="13"/>
  <c r="M52" i="13" s="1"/>
  <c r="R52" i="13"/>
  <c r="O51" i="13"/>
  <c r="S51" i="13" s="1"/>
  <c r="Q51" i="13"/>
  <c r="T51" i="13"/>
  <c r="R51" i="13"/>
  <c r="P51" i="13"/>
  <c r="M51" i="13"/>
  <c r="O50" i="13"/>
  <c r="Q50" i="13" s="1"/>
  <c r="T50" i="13" s="1"/>
  <c r="M50" i="13" s="1"/>
  <c r="R50" i="13"/>
  <c r="K50" i="13"/>
  <c r="O49" i="13"/>
  <c r="S49" i="13" s="1"/>
  <c r="R49" i="13"/>
  <c r="Q49" i="13"/>
  <c r="P49" i="13"/>
  <c r="O48" i="13"/>
  <c r="Q48" i="13" s="1"/>
  <c r="R48" i="13"/>
  <c r="S48" i="13"/>
  <c r="T48" i="13"/>
  <c r="P48" i="13"/>
  <c r="M48" i="13"/>
  <c r="L48" i="13"/>
  <c r="K48" i="13"/>
  <c r="O38" i="13"/>
  <c r="Q38" i="13" s="1"/>
  <c r="T38" i="13" s="1"/>
  <c r="M38" i="13" s="1"/>
  <c r="S38" i="13"/>
  <c r="R38" i="13"/>
  <c r="O37" i="13"/>
  <c r="Q37" i="13"/>
  <c r="T37" i="13"/>
  <c r="S37" i="13"/>
  <c r="R37" i="13"/>
  <c r="P37" i="13"/>
  <c r="M37" i="13"/>
  <c r="O36" i="13"/>
  <c r="S36" i="13" s="1"/>
  <c r="Q36" i="13"/>
  <c r="T36" i="13"/>
  <c r="R36" i="13"/>
  <c r="P36" i="13"/>
  <c r="M36" i="13"/>
  <c r="O35" i="13"/>
  <c r="P35" i="13" s="1"/>
  <c r="Q35" i="13"/>
  <c r="T35" i="13"/>
  <c r="M35" i="13" s="1"/>
  <c r="S35" i="13"/>
  <c r="R35" i="13"/>
  <c r="O34" i="13"/>
  <c r="Q34" i="13" s="1"/>
  <c r="T34" i="13" s="1"/>
  <c r="M34" i="13" s="1"/>
  <c r="S34" i="13"/>
  <c r="R34" i="13"/>
  <c r="O33" i="13"/>
  <c r="S33" i="13" s="1"/>
  <c r="Q33" i="13"/>
  <c r="T33" i="13"/>
  <c r="M33" i="13" s="1"/>
  <c r="R33" i="13"/>
  <c r="O32" i="13"/>
  <c r="S32" i="13" s="1"/>
  <c r="Q32" i="13"/>
  <c r="T32" i="13"/>
  <c r="R32" i="13"/>
  <c r="P32" i="13"/>
  <c r="M32" i="13"/>
  <c r="K32" i="13"/>
  <c r="O31" i="13"/>
  <c r="Q31" i="13" s="1"/>
  <c r="T31" i="13" s="1"/>
  <c r="M31" i="13" s="1"/>
  <c r="R31" i="13"/>
  <c r="O30" i="13"/>
  <c r="Q30" i="13" s="1"/>
  <c r="T30" i="13" s="1"/>
  <c r="M30" i="13" s="1"/>
  <c r="S30" i="13"/>
  <c r="R30" i="13"/>
  <c r="P30" i="13"/>
  <c r="O29" i="13"/>
  <c r="Q29" i="13" s="1"/>
  <c r="T29" i="13" s="1"/>
  <c r="M29" i="13" s="1"/>
  <c r="S29" i="13"/>
  <c r="R29" i="13"/>
  <c r="R28" i="13"/>
  <c r="K28" i="13"/>
  <c r="R27" i="13"/>
  <c r="K27" i="13"/>
  <c r="F83" i="13"/>
  <c r="G83" i="13" s="1"/>
  <c r="F82" i="13"/>
  <c r="G82" i="13"/>
  <c r="H82" i="13" s="1"/>
  <c r="F81" i="13"/>
  <c r="G81" i="13"/>
  <c r="K81" i="13" s="1"/>
  <c r="F80" i="13"/>
  <c r="G80" i="13"/>
  <c r="H80" i="13"/>
  <c r="I80" i="13"/>
  <c r="F79" i="13"/>
  <c r="G79" i="13" s="1"/>
  <c r="F78" i="13"/>
  <c r="G78" i="13"/>
  <c r="K78" i="13" s="1"/>
  <c r="F77" i="13"/>
  <c r="G77" i="13"/>
  <c r="H77" i="13" s="1"/>
  <c r="F76" i="13"/>
  <c r="G76" i="13"/>
  <c r="K76" i="13" s="1"/>
  <c r="H76" i="13"/>
  <c r="L76" i="13" s="1"/>
  <c r="I76" i="13"/>
  <c r="F75" i="13"/>
  <c r="G75" i="13" s="1"/>
  <c r="F74" i="13"/>
  <c r="G74" i="13"/>
  <c r="K74" i="13" s="1"/>
  <c r="F73" i="13"/>
  <c r="G73" i="13"/>
  <c r="H73" i="13" s="1"/>
  <c r="F72" i="13"/>
  <c r="G72" i="13"/>
  <c r="H72" i="13"/>
  <c r="L72" i="13" s="1"/>
  <c r="I72" i="13"/>
  <c r="F59" i="13"/>
  <c r="G59" i="13" s="1"/>
  <c r="F58" i="13"/>
  <c r="G58" i="13"/>
  <c r="H58" i="13" s="1"/>
  <c r="F57" i="13"/>
  <c r="G57" i="13"/>
  <c r="K57" i="13" s="1"/>
  <c r="F56" i="13"/>
  <c r="G56" i="13"/>
  <c r="K56" i="13" s="1"/>
  <c r="H56" i="13"/>
  <c r="L56" i="13" s="1"/>
  <c r="I56" i="13"/>
  <c r="F55" i="13"/>
  <c r="G55" i="13" s="1"/>
  <c r="F54" i="13"/>
  <c r="G54" i="13"/>
  <c r="K54" i="13" s="1"/>
  <c r="F53" i="13"/>
  <c r="G53" i="13"/>
  <c r="H53" i="13" s="1"/>
  <c r="F52" i="13"/>
  <c r="G52" i="13"/>
  <c r="K52" i="13" s="1"/>
  <c r="H52" i="13"/>
  <c r="L52" i="13" s="1"/>
  <c r="I52" i="13"/>
  <c r="F51" i="13"/>
  <c r="G51" i="13" s="1"/>
  <c r="F50" i="13"/>
  <c r="G50" i="13"/>
  <c r="H50" i="13" s="1"/>
  <c r="F49" i="13"/>
  <c r="G49" i="13"/>
  <c r="K49" i="13" s="1"/>
  <c r="F48" i="13"/>
  <c r="G48" i="13"/>
  <c r="H48" i="13"/>
  <c r="I48" i="13"/>
  <c r="F38" i="13"/>
  <c r="G38" i="13" s="1"/>
  <c r="F37" i="13"/>
  <c r="G37" i="13"/>
  <c r="K37" i="13" s="1"/>
  <c r="F36" i="13"/>
  <c r="G36" i="13"/>
  <c r="H36" i="13" s="1"/>
  <c r="F35" i="13"/>
  <c r="G35" i="13"/>
  <c r="K35" i="13" s="1"/>
  <c r="H35" i="13"/>
  <c r="L35" i="13" s="1"/>
  <c r="I35" i="13"/>
  <c r="F34" i="13"/>
  <c r="G34" i="13" s="1"/>
  <c r="F33" i="13"/>
  <c r="G33" i="13"/>
  <c r="K33" i="13" s="1"/>
  <c r="F32" i="13"/>
  <c r="G32" i="13"/>
  <c r="H32" i="13" s="1"/>
  <c r="F31" i="13"/>
  <c r="G31" i="13"/>
  <c r="K31" i="13" s="1"/>
  <c r="H31" i="13"/>
  <c r="L31" i="13" s="1"/>
  <c r="I31" i="13"/>
  <c r="F30" i="13"/>
  <c r="G30" i="13" s="1"/>
  <c r="F29" i="13"/>
  <c r="G29" i="13"/>
  <c r="H29" i="13" s="1"/>
  <c r="F28" i="13"/>
  <c r="G28" i="13"/>
  <c r="O28" i="13" s="1"/>
  <c r="F27" i="13"/>
  <c r="G27" i="13"/>
  <c r="O27" i="13" s="1"/>
  <c r="H27" i="13"/>
  <c r="L27" i="13" s="1"/>
  <c r="I27" i="13"/>
  <c r="R6" i="13"/>
  <c r="F10" i="13"/>
  <c r="G10" i="13"/>
  <c r="H10" i="13" s="1"/>
  <c r="O10" i="13"/>
  <c r="Q10" i="13"/>
  <c r="T10" i="13"/>
  <c r="M10" i="13"/>
  <c r="F9" i="13"/>
  <c r="G9" i="13"/>
  <c r="H9" i="13" s="1"/>
  <c r="O9" i="13"/>
  <c r="S9" i="13" s="1"/>
  <c r="F8" i="13"/>
  <c r="G8" i="13"/>
  <c r="H8" i="13" s="1"/>
  <c r="O8" i="13"/>
  <c r="Q8" i="13" s="1"/>
  <c r="T8" i="13" s="1"/>
  <c r="M8" i="13" s="1"/>
  <c r="F7" i="13"/>
  <c r="G7" i="13" s="1"/>
  <c r="K7" i="13" s="1"/>
  <c r="O7" i="13"/>
  <c r="O17" i="13"/>
  <c r="Q17" i="13"/>
  <c r="T17" i="13"/>
  <c r="M17" i="13" s="1"/>
  <c r="R17" i="13"/>
  <c r="P17" i="13"/>
  <c r="F17" i="13"/>
  <c r="G17" i="13" s="1"/>
  <c r="O16" i="13"/>
  <c r="Q16" i="13"/>
  <c r="T16" i="13"/>
  <c r="M16" i="13" s="1"/>
  <c r="R16" i="13"/>
  <c r="P16" i="13"/>
  <c r="F16" i="13"/>
  <c r="G16" i="13"/>
  <c r="H16" i="13"/>
  <c r="I16" i="13" s="1"/>
  <c r="L16" i="13"/>
  <c r="K16" i="13"/>
  <c r="O15" i="13"/>
  <c r="Q15" i="13"/>
  <c r="T15" i="13"/>
  <c r="M15" i="13" s="1"/>
  <c r="R15" i="13"/>
  <c r="P15" i="13"/>
  <c r="F15" i="13"/>
  <c r="G15" i="13"/>
  <c r="H15" i="13"/>
  <c r="L15" i="13" s="1"/>
  <c r="K15" i="13"/>
  <c r="I15" i="13"/>
  <c r="O14" i="13"/>
  <c r="Q14" i="13"/>
  <c r="T14" i="13"/>
  <c r="M14" i="13" s="1"/>
  <c r="R14" i="13"/>
  <c r="F14" i="13"/>
  <c r="G14" i="13"/>
  <c r="K14" i="13" s="1"/>
  <c r="H14" i="13"/>
  <c r="I14" i="13" s="1"/>
  <c r="L14" i="13"/>
  <c r="O13" i="13"/>
  <c r="Q13" i="13"/>
  <c r="T13" i="13" s="1"/>
  <c r="M13" i="13" s="1"/>
  <c r="R13" i="13"/>
  <c r="P13" i="13"/>
  <c r="F13" i="13"/>
  <c r="G13" i="13"/>
  <c r="K13" i="13" s="1"/>
  <c r="H13" i="13"/>
  <c r="I13" i="13" s="1"/>
  <c r="L13" i="13"/>
  <c r="O12" i="13"/>
  <c r="S12" i="13" s="1"/>
  <c r="Q12" i="13"/>
  <c r="T12" i="13"/>
  <c r="M12" i="13" s="1"/>
  <c r="R12" i="13"/>
  <c r="F12" i="13"/>
  <c r="G12" i="13"/>
  <c r="H12" i="13" s="1"/>
  <c r="K12" i="13"/>
  <c r="O11" i="13"/>
  <c r="S11" i="13" s="1"/>
  <c r="Q11" i="13"/>
  <c r="T11" i="13"/>
  <c r="M11" i="13" s="1"/>
  <c r="R11" i="13"/>
  <c r="F11" i="13"/>
  <c r="G11" i="13"/>
  <c r="K11" i="13" s="1"/>
  <c r="H11" i="13"/>
  <c r="L11" i="13" s="1"/>
  <c r="I11" i="13"/>
  <c r="R10" i="13"/>
  <c r="P10" i="13"/>
  <c r="K10" i="13"/>
  <c r="R9" i="13"/>
  <c r="P9" i="13"/>
  <c r="R8" i="13"/>
  <c r="P8" i="13"/>
  <c r="K8" i="13"/>
  <c r="R7" i="13"/>
  <c r="F6" i="13"/>
  <c r="G6" i="13" s="1"/>
  <c r="O201" i="1"/>
  <c r="S201" i="1" s="1"/>
  <c r="L179" i="1"/>
  <c r="O179" i="1" s="1"/>
  <c r="S179" i="1" s="1"/>
  <c r="L175" i="1"/>
  <c r="O175" i="1" s="1"/>
  <c r="S175" i="1" s="1"/>
  <c r="L170" i="1"/>
  <c r="O170" i="1" s="1"/>
  <c r="S170" i="1" s="1"/>
  <c r="L173" i="1"/>
  <c r="O173" i="1" s="1"/>
  <c r="S173" i="1" s="1"/>
  <c r="L176" i="1"/>
  <c r="O176" i="1" s="1"/>
  <c r="S176" i="1" s="1"/>
  <c r="L211" i="1"/>
  <c r="L221" i="1"/>
  <c r="R221" i="1" s="1"/>
  <c r="L224" i="1"/>
  <c r="R224" i="1" s="1"/>
  <c r="L226" i="1"/>
  <c r="R226" i="1" s="1"/>
  <c r="J28" i="16"/>
  <c r="K28" i="16"/>
  <c r="L28" i="16"/>
  <c r="O28" i="16"/>
  <c r="P28" i="16" s="1"/>
  <c r="N26" i="16"/>
  <c r="K11" i="16"/>
  <c r="G38" i="16"/>
  <c r="H38" i="16" s="1"/>
  <c r="I38" i="16" s="1"/>
  <c r="G37" i="16"/>
  <c r="H37" i="16" s="1"/>
  <c r="I37" i="16" s="1"/>
  <c r="G36" i="16"/>
  <c r="H36" i="16" s="1"/>
  <c r="I36" i="16" s="1"/>
  <c r="G35" i="16"/>
  <c r="H35" i="16" s="1"/>
  <c r="I35" i="16" s="1"/>
  <c r="G34" i="16"/>
  <c r="H34" i="16" s="1"/>
  <c r="I34" i="16" s="1"/>
  <c r="G33" i="16"/>
  <c r="H33" i="16" s="1"/>
  <c r="I33" i="16" s="1"/>
  <c r="G32" i="16"/>
  <c r="H32" i="16" s="1"/>
  <c r="I32" i="16" s="1"/>
  <c r="G31" i="16"/>
  <c r="H31" i="16" s="1"/>
  <c r="I31" i="16" s="1"/>
  <c r="G30" i="16"/>
  <c r="H30" i="16" s="1"/>
  <c r="I30" i="16" s="1"/>
  <c r="G29" i="16"/>
  <c r="G28" i="16"/>
  <c r="G27" i="16"/>
  <c r="G26" i="16"/>
  <c r="G25" i="16"/>
  <c r="G24" i="16"/>
  <c r="G23" i="16"/>
  <c r="H23" i="16" s="1"/>
  <c r="I23" i="16" s="1"/>
  <c r="G22" i="16"/>
  <c r="H22" i="16" s="1"/>
  <c r="I22" i="16" s="1"/>
  <c r="G21" i="16"/>
  <c r="H21" i="16" s="1"/>
  <c r="I21" i="16" s="1"/>
  <c r="G20" i="16"/>
  <c r="H20" i="16" s="1"/>
  <c r="I20" i="16" s="1"/>
  <c r="G19" i="16"/>
  <c r="H19" i="16" s="1"/>
  <c r="I19" i="16" s="1"/>
  <c r="G18" i="16"/>
  <c r="H18" i="16" s="1"/>
  <c r="I18" i="16" s="1"/>
  <c r="G17" i="16"/>
  <c r="H17" i="16" s="1"/>
  <c r="I17" i="16" s="1"/>
  <c r="G16" i="16"/>
  <c r="H16" i="16" s="1"/>
  <c r="I16" i="16" s="1"/>
  <c r="G15" i="16"/>
  <c r="H15" i="16" s="1"/>
  <c r="I15" i="16" s="1"/>
  <c r="G14" i="16"/>
  <c r="G13" i="16"/>
  <c r="G12" i="16"/>
  <c r="H12" i="16" s="1"/>
  <c r="I12" i="16" s="1"/>
  <c r="G11" i="16"/>
  <c r="G10" i="16"/>
  <c r="G9" i="16"/>
  <c r="H9" i="16" s="1"/>
  <c r="I9" i="16" s="1"/>
  <c r="G8" i="16"/>
  <c r="G7" i="16"/>
  <c r="G5" i="16"/>
  <c r="G4" i="16"/>
  <c r="G3" i="16"/>
  <c r="H3" i="16" s="1"/>
  <c r="I3" i="16" s="1"/>
  <c r="G2" i="16"/>
  <c r="H2" i="16" s="1"/>
  <c r="I2" i="16" s="1"/>
  <c r="J66" i="3"/>
  <c r="J57" i="3"/>
  <c r="J53" i="3"/>
  <c r="L259" i="1"/>
  <c r="R259" i="1" s="1"/>
  <c r="L258" i="1"/>
  <c r="R258" i="1" s="1"/>
  <c r="L257" i="1"/>
  <c r="R257" i="1" s="1"/>
  <c r="L256" i="1"/>
  <c r="R256" i="1" s="1"/>
  <c r="L223" i="1"/>
  <c r="R223" i="1" s="1"/>
  <c r="L222" i="1"/>
  <c r="R222" i="1" s="1"/>
  <c r="L203" i="1"/>
  <c r="O203" i="1" s="1"/>
  <c r="S203" i="1" s="1"/>
  <c r="O200" i="1"/>
  <c r="S200" i="1" s="1"/>
  <c r="O199" i="1"/>
  <c r="S199" i="1" s="1"/>
  <c r="O198" i="1"/>
  <c r="S198" i="1" s="1"/>
  <c r="N8" i="2" s="1"/>
  <c r="L178" i="1"/>
  <c r="O178" i="1" s="1"/>
  <c r="S178" i="1" s="1"/>
  <c r="L177" i="1"/>
  <c r="O177" i="1" s="1"/>
  <c r="S177" i="1" s="1"/>
  <c r="L172" i="1"/>
  <c r="O172" i="1" s="1"/>
  <c r="S172" i="1" s="1"/>
  <c r="L171" i="1"/>
  <c r="O171" i="1" s="1"/>
  <c r="S171" i="1" s="1"/>
  <c r="L91" i="1"/>
  <c r="O8" i="2" l="1"/>
  <c r="U176" i="1"/>
  <c r="T176" i="1"/>
  <c r="V176" i="1"/>
  <c r="U171" i="1"/>
  <c r="T171" i="1"/>
  <c r="V171" i="1"/>
  <c r="T199" i="1"/>
  <c r="U199" i="1"/>
  <c r="V199" i="1"/>
  <c r="V170" i="1"/>
  <c r="U170" i="1"/>
  <c r="T170" i="1"/>
  <c r="V177" i="1"/>
  <c r="U177" i="1"/>
  <c r="T177" i="1"/>
  <c r="V178" i="1"/>
  <c r="T178" i="1"/>
  <c r="U178" i="1"/>
  <c r="U200" i="1"/>
  <c r="V200" i="1"/>
  <c r="T200" i="1"/>
  <c r="T175" i="1"/>
  <c r="V175" i="1"/>
  <c r="U175" i="1"/>
  <c r="T172" i="1"/>
  <c r="U172" i="1"/>
  <c r="V172" i="1"/>
  <c r="U198" i="1"/>
  <c r="T198" i="1"/>
  <c r="P8" i="2" s="1"/>
  <c r="V198" i="1"/>
  <c r="V203" i="1"/>
  <c r="U203" i="1"/>
  <c r="T203" i="1"/>
  <c r="V179" i="1"/>
  <c r="U179" i="1"/>
  <c r="T179" i="1"/>
  <c r="U173" i="1"/>
  <c r="V173" i="1"/>
  <c r="T173" i="1"/>
  <c r="U201" i="1"/>
  <c r="V201" i="1"/>
  <c r="T201" i="1"/>
  <c r="N2" i="2"/>
  <c r="O2" i="2" s="1"/>
  <c r="N7" i="2"/>
  <c r="N11" i="2"/>
  <c r="O11" i="2" s="1"/>
  <c r="N15" i="2"/>
  <c r="O15" i="2" s="1"/>
  <c r="O221" i="1"/>
  <c r="O256" i="1"/>
  <c r="O257" i="1"/>
  <c r="O259" i="1"/>
  <c r="O270" i="1"/>
  <c r="S270" i="1" s="1"/>
  <c r="O228" i="1"/>
  <c r="S228" i="1" s="1"/>
  <c r="O229" i="1"/>
  <c r="S229" i="1" s="1"/>
  <c r="O226" i="1"/>
  <c r="S226" i="1" s="1"/>
  <c r="O210" i="1"/>
  <c r="S210" i="1" s="1"/>
  <c r="O285" i="1"/>
  <c r="S285" i="1" s="1"/>
  <c r="O168" i="1"/>
  <c r="S168" i="1" s="1"/>
  <c r="O223" i="1"/>
  <c r="S223" i="1" s="1"/>
  <c r="O258" i="1"/>
  <c r="S258" i="1" s="1"/>
  <c r="O286" i="1"/>
  <c r="S286" i="1" s="1"/>
  <c r="O222" i="1"/>
  <c r="S222" i="1" s="1"/>
  <c r="O232" i="1"/>
  <c r="S232" i="1" s="1"/>
  <c r="L102" i="1"/>
  <c r="O102" i="1" s="1"/>
  <c r="S102" i="1" s="1"/>
  <c r="O91" i="1"/>
  <c r="S91" i="1" s="1"/>
  <c r="O211" i="1"/>
  <c r="S211" i="1" s="1"/>
  <c r="O224" i="1"/>
  <c r="S224" i="1" s="1"/>
  <c r="N17" i="2" s="1"/>
  <c r="S110" i="1"/>
  <c r="S111" i="1"/>
  <c r="O104" i="1"/>
  <c r="S104" i="1" s="1"/>
  <c r="O105" i="1"/>
  <c r="S105" i="1" s="1"/>
  <c r="O103" i="1"/>
  <c r="S103" i="1" s="1"/>
  <c r="O106" i="1"/>
  <c r="S106" i="1" s="1"/>
  <c r="O112" i="1"/>
  <c r="S112" i="1" s="1"/>
  <c r="O107" i="1"/>
  <c r="S107" i="1" s="1"/>
  <c r="O108" i="1"/>
  <c r="S108" i="1" s="1"/>
  <c r="O109" i="1"/>
  <c r="S109" i="1" s="1"/>
  <c r="T2" i="2"/>
  <c r="O10" i="2"/>
  <c r="O12" i="2"/>
  <c r="I10" i="13"/>
  <c r="L10" i="13"/>
  <c r="L32" i="13"/>
  <c r="I32" i="13"/>
  <c r="L82" i="13"/>
  <c r="I82" i="13"/>
  <c r="N13" i="16"/>
  <c r="L50" i="13"/>
  <c r="I50" i="13"/>
  <c r="H51" i="13"/>
  <c r="K51" i="13"/>
  <c r="L58" i="13"/>
  <c r="I58" i="13"/>
  <c r="L77" i="13"/>
  <c r="I77" i="13"/>
  <c r="N27" i="16"/>
  <c r="J27" i="16"/>
  <c r="K27" i="16"/>
  <c r="I73" i="13"/>
  <c r="L73" i="13"/>
  <c r="H55" i="13"/>
  <c r="K55" i="13"/>
  <c r="H75" i="13"/>
  <c r="K75" i="13"/>
  <c r="N14" i="16"/>
  <c r="J14" i="16"/>
  <c r="L14" i="16" s="1"/>
  <c r="O14" i="16" s="1"/>
  <c r="P14" i="16" s="1"/>
  <c r="K14" i="16"/>
  <c r="T72" i="13"/>
  <c r="U72" i="13"/>
  <c r="W72" i="13" s="1"/>
  <c r="I12" i="13"/>
  <c r="L12" i="13"/>
  <c r="H38" i="13"/>
  <c r="K38" i="13"/>
  <c r="H17" i="13"/>
  <c r="K17" i="13"/>
  <c r="T49" i="13"/>
  <c r="M49" i="13" s="1"/>
  <c r="J12" i="16"/>
  <c r="L12" i="16" s="1"/>
  <c r="O12" i="16" s="1"/>
  <c r="P12" i="16" s="1"/>
  <c r="L8" i="13"/>
  <c r="I8" i="13"/>
  <c r="J30" i="16"/>
  <c r="L30" i="16" s="1"/>
  <c r="O30" i="16" s="1"/>
  <c r="P30" i="16" s="1"/>
  <c r="N30" i="16"/>
  <c r="K30" i="16"/>
  <c r="H59" i="13"/>
  <c r="K59" i="13"/>
  <c r="H83" i="13"/>
  <c r="K83" i="13"/>
  <c r="H34" i="13"/>
  <c r="K34" i="13"/>
  <c r="N15" i="16"/>
  <c r="J15" i="16"/>
  <c r="K15" i="16"/>
  <c r="L15" i="16" s="1"/>
  <c r="O15" i="16" s="1"/>
  <c r="P15" i="16" s="1"/>
  <c r="J31" i="16"/>
  <c r="L31" i="16" s="1"/>
  <c r="O31" i="16" s="1"/>
  <c r="P31" i="16" s="1"/>
  <c r="N31" i="16"/>
  <c r="K31" i="16"/>
  <c r="L29" i="13"/>
  <c r="I29" i="13"/>
  <c r="L36" i="13"/>
  <c r="I36" i="13"/>
  <c r="J16" i="16"/>
  <c r="K16" i="16"/>
  <c r="L16" i="16" s="1"/>
  <c r="O16" i="16" s="1"/>
  <c r="P16" i="16" s="1"/>
  <c r="N16" i="16"/>
  <c r="N32" i="16"/>
  <c r="L9" i="13"/>
  <c r="I9" i="13"/>
  <c r="H79" i="13"/>
  <c r="K79" i="13"/>
  <c r="N17" i="16"/>
  <c r="N33" i="16"/>
  <c r="K30" i="13"/>
  <c r="H30" i="13"/>
  <c r="I53" i="13"/>
  <c r="L53" i="13"/>
  <c r="S17" i="13"/>
  <c r="Q7" i="13"/>
  <c r="S7" i="13"/>
  <c r="T7" i="13" s="1"/>
  <c r="M7" i="13" s="1"/>
  <c r="K36" i="13"/>
  <c r="K77" i="13"/>
  <c r="N11" i="16"/>
  <c r="N28" i="16"/>
  <c r="S10" i="13"/>
  <c r="H28" i="13"/>
  <c r="H49" i="13"/>
  <c r="H57" i="13"/>
  <c r="H81" i="13"/>
  <c r="K29" i="13"/>
  <c r="P34" i="13"/>
  <c r="P53" i="13"/>
  <c r="P75" i="13"/>
  <c r="S14" i="13"/>
  <c r="Q72" i="13"/>
  <c r="N8" i="16"/>
  <c r="K24" i="16"/>
  <c r="P12" i="13"/>
  <c r="S16" i="13"/>
  <c r="P29" i="13"/>
  <c r="S8" i="13"/>
  <c r="H33" i="13"/>
  <c r="H37" i="13"/>
  <c r="H54" i="13"/>
  <c r="H74" i="13"/>
  <c r="H78" i="13"/>
  <c r="P38" i="13"/>
  <c r="P31" i="13"/>
  <c r="P50" i="13"/>
  <c r="S13" i="13"/>
  <c r="P59" i="13"/>
  <c r="P81" i="13"/>
  <c r="P72" i="13"/>
  <c r="K9" i="13"/>
  <c r="S31" i="13"/>
  <c r="P33" i="13"/>
  <c r="S50" i="13"/>
  <c r="U48" i="13" s="1"/>
  <c r="W48" i="13" s="1"/>
  <c r="P52" i="13"/>
  <c r="P74" i="13"/>
  <c r="N7" i="16"/>
  <c r="P11" i="13"/>
  <c r="S15" i="13"/>
  <c r="J8" i="16"/>
  <c r="P14" i="13"/>
  <c r="Q9" i="13"/>
  <c r="T9" i="13" s="1"/>
  <c r="M9" i="13" s="1"/>
  <c r="Q291" i="1"/>
  <c r="H7" i="13"/>
  <c r="P7" i="13"/>
  <c r="O6" i="13"/>
  <c r="S6" i="13" s="1"/>
  <c r="T6" i="13" s="1"/>
  <c r="K6" i="13"/>
  <c r="H6" i="13"/>
  <c r="AF47" i="2"/>
  <c r="AF49" i="2" s="1"/>
  <c r="K37" i="16"/>
  <c r="J37" i="16"/>
  <c r="L37" i="16" s="1"/>
  <c r="N37" i="16"/>
  <c r="N20" i="16"/>
  <c r="J20" i="16"/>
  <c r="K20" i="16"/>
  <c r="L20" i="16"/>
  <c r="J38" i="16"/>
  <c r="K38" i="16"/>
  <c r="L38" i="16"/>
  <c r="N38" i="16"/>
  <c r="J22" i="16"/>
  <c r="L22" i="16" s="1"/>
  <c r="K22" i="16"/>
  <c r="N22" i="16"/>
  <c r="J25" i="16"/>
  <c r="K25" i="16"/>
  <c r="L25" i="16"/>
  <c r="N25" i="16"/>
  <c r="J21" i="16"/>
  <c r="N21" i="16"/>
  <c r="J23" i="16"/>
  <c r="K23" i="16"/>
  <c r="N23" i="16"/>
  <c r="J17" i="16"/>
  <c r="K17" i="16"/>
  <c r="N24" i="16"/>
  <c r="J24" i="16"/>
  <c r="J18" i="16"/>
  <c r="K18" i="16"/>
  <c r="L18" i="16"/>
  <c r="O18" i="16" s="1"/>
  <c r="P18" i="16" s="1"/>
  <c r="N18" i="16"/>
  <c r="N34" i="16"/>
  <c r="K34" i="16"/>
  <c r="N19" i="16"/>
  <c r="J19" i="16"/>
  <c r="K19" i="16"/>
  <c r="L19" i="16"/>
  <c r="O19" i="16" s="1"/>
  <c r="P19" i="16" s="1"/>
  <c r="N35" i="16"/>
  <c r="J35" i="16"/>
  <c r="L35" i="16" s="1"/>
  <c r="O35" i="16" s="1"/>
  <c r="P35" i="16" s="1"/>
  <c r="K35" i="16"/>
  <c r="J26" i="16"/>
  <c r="K26" i="16"/>
  <c r="N36" i="16"/>
  <c r="J36" i="16"/>
  <c r="K36" i="16"/>
  <c r="L36" i="16"/>
  <c r="O36" i="16" s="1"/>
  <c r="P36" i="16" s="1"/>
  <c r="N9" i="16"/>
  <c r="J9" i="16"/>
  <c r="K9" i="16"/>
  <c r="L9" i="16"/>
  <c r="O9" i="16" s="1"/>
  <c r="P9" i="16" s="1"/>
  <c r="J34" i="16"/>
  <c r="L34" i="16" s="1"/>
  <c r="O34" i="16" s="1"/>
  <c r="P34" i="16" s="1"/>
  <c r="K21" i="16"/>
  <c r="J29" i="16"/>
  <c r="K29" i="16"/>
  <c r="L29" i="16"/>
  <c r="N29" i="16"/>
  <c r="J7" i="16"/>
  <c r="L7" i="16" s="1"/>
  <c r="O7" i="16" s="1"/>
  <c r="P7" i="16" s="1"/>
  <c r="L27" i="16"/>
  <c r="N12" i="16"/>
  <c r="K12" i="16"/>
  <c r="J10" i="16"/>
  <c r="K10" i="16"/>
  <c r="L10" i="16"/>
  <c r="N10" i="16"/>
  <c r="J11" i="16"/>
  <c r="L11" i="16" s="1"/>
  <c r="O11" i="16" s="1"/>
  <c r="P11" i="16" s="1"/>
  <c r="J13" i="16"/>
  <c r="K13" i="16"/>
  <c r="L13" i="16"/>
  <c r="O13" i="16" s="1"/>
  <c r="P13" i="16" s="1"/>
  <c r="J32" i="16"/>
  <c r="L32" i="16" s="1"/>
  <c r="K32" i="16"/>
  <c r="J33" i="16"/>
  <c r="K33" i="16"/>
  <c r="K8" i="16"/>
  <c r="N3" i="16"/>
  <c r="J3" i="16"/>
  <c r="K3" i="16"/>
  <c r="L3" i="16" s="1"/>
  <c r="O3" i="16" s="1"/>
  <c r="P3" i="16" s="1"/>
  <c r="N4" i="16"/>
  <c r="K4" i="16"/>
  <c r="J4" i="16"/>
  <c r="L4" i="16" s="1"/>
  <c r="O4" i="16" s="1"/>
  <c r="P4" i="16" s="1"/>
  <c r="J5" i="16"/>
  <c r="N5" i="16"/>
  <c r="K5" i="16"/>
  <c r="L5" i="16" s="1"/>
  <c r="O5" i="16" s="1"/>
  <c r="P5" i="16" s="1"/>
  <c r="K2" i="16"/>
  <c r="J2" i="16"/>
  <c r="L2" i="16" s="1"/>
  <c r="O2" i="16" s="1"/>
  <c r="P2" i="16" s="1"/>
  <c r="N2" i="16"/>
  <c r="S27" i="13"/>
  <c r="Q27" i="13"/>
  <c r="P27" i="13"/>
  <c r="S28" i="13"/>
  <c r="T28" i="13" s="1"/>
  <c r="M28" i="13" s="1"/>
  <c r="Q28" i="13"/>
  <c r="P28" i="13"/>
  <c r="AF32" i="2"/>
  <c r="AF34" i="2" s="1"/>
  <c r="AG2" i="2"/>
  <c r="AI2" i="2"/>
  <c r="T8" i="2" l="1"/>
  <c r="U8" i="2" s="1"/>
  <c r="Q8" i="2"/>
  <c r="V107" i="1"/>
  <c r="T107" i="1"/>
  <c r="U107" i="1"/>
  <c r="V210" i="1"/>
  <c r="U210" i="1"/>
  <c r="T210" i="1"/>
  <c r="V108" i="1"/>
  <c r="T108" i="1"/>
  <c r="U108" i="1"/>
  <c r="T229" i="1"/>
  <c r="V229" i="1"/>
  <c r="U229" i="1"/>
  <c r="U224" i="1"/>
  <c r="T224" i="1"/>
  <c r="V224" i="1"/>
  <c r="T17" i="2" s="1"/>
  <c r="U211" i="1"/>
  <c r="V211" i="1"/>
  <c r="T211" i="1"/>
  <c r="T112" i="1"/>
  <c r="U112" i="1"/>
  <c r="V112" i="1"/>
  <c r="V232" i="1"/>
  <c r="U232" i="1"/>
  <c r="T232" i="1"/>
  <c r="U226" i="1"/>
  <c r="V226" i="1"/>
  <c r="T226" i="1"/>
  <c r="V109" i="1"/>
  <c r="T109" i="1"/>
  <c r="U109" i="1"/>
  <c r="V102" i="1"/>
  <c r="T102" i="1"/>
  <c r="U102" i="1"/>
  <c r="T106" i="1"/>
  <c r="U106" i="1"/>
  <c r="V106" i="1"/>
  <c r="U222" i="1"/>
  <c r="V222" i="1"/>
  <c r="T222" i="1"/>
  <c r="U228" i="1"/>
  <c r="T228" i="1"/>
  <c r="V228" i="1"/>
  <c r="V103" i="1"/>
  <c r="U103" i="1"/>
  <c r="T103" i="1"/>
  <c r="U286" i="1"/>
  <c r="T286" i="1"/>
  <c r="V286" i="1"/>
  <c r="T91" i="1"/>
  <c r="V91" i="1"/>
  <c r="U91" i="1"/>
  <c r="V105" i="1"/>
  <c r="U105" i="1"/>
  <c r="T105" i="1"/>
  <c r="V258" i="1"/>
  <c r="U258" i="1"/>
  <c r="T258" i="1"/>
  <c r="U104" i="1"/>
  <c r="T104" i="1"/>
  <c r="V104" i="1"/>
  <c r="U223" i="1"/>
  <c r="V223" i="1"/>
  <c r="T223" i="1"/>
  <c r="T111" i="1"/>
  <c r="U111" i="1"/>
  <c r="V111" i="1"/>
  <c r="V168" i="1"/>
  <c r="U168" i="1"/>
  <c r="T168" i="1"/>
  <c r="U270" i="1"/>
  <c r="T270" i="1"/>
  <c r="V270" i="1"/>
  <c r="V110" i="1"/>
  <c r="T110" i="1"/>
  <c r="U110" i="1"/>
  <c r="U285" i="1"/>
  <c r="T285" i="1"/>
  <c r="V285" i="1"/>
  <c r="P6" i="13"/>
  <c r="Q6" i="13"/>
  <c r="U6" i="13"/>
  <c r="W6" i="13" s="1"/>
  <c r="S259" i="1"/>
  <c r="S257" i="1"/>
  <c r="S256" i="1"/>
  <c r="S221" i="1"/>
  <c r="N16" i="2" s="1"/>
  <c r="S291" i="1"/>
  <c r="Q11" i="2"/>
  <c r="T11" i="2"/>
  <c r="Q15" i="2"/>
  <c r="T15" i="2"/>
  <c r="Q2" i="2"/>
  <c r="T7" i="2"/>
  <c r="U7" i="2" s="1"/>
  <c r="Q7" i="2"/>
  <c r="AF36" i="2"/>
  <c r="AF38" i="2" s="1"/>
  <c r="AF40" i="2" s="1"/>
  <c r="AF51" i="2"/>
  <c r="AF53" i="2" s="1"/>
  <c r="AF55" i="2" s="1"/>
  <c r="P7" i="2"/>
  <c r="P15" i="2"/>
  <c r="N20" i="2"/>
  <c r="O20" i="2" s="1"/>
  <c r="N18" i="2"/>
  <c r="O18" i="2" s="1"/>
  <c r="P11" i="2"/>
  <c r="N13" i="2"/>
  <c r="P2" i="2"/>
  <c r="X181" i="1"/>
  <c r="X227" i="1"/>
  <c r="X262" i="1"/>
  <c r="X194" i="1"/>
  <c r="X185" i="1"/>
  <c r="X248" i="1"/>
  <c r="X219" i="1"/>
  <c r="X284" i="1"/>
  <c r="X167" i="1"/>
  <c r="X163" i="1"/>
  <c r="X238" i="1"/>
  <c r="I51" i="13"/>
  <c r="L51" i="13"/>
  <c r="L33" i="13"/>
  <c r="I33" i="13"/>
  <c r="I55" i="13"/>
  <c r="L55" i="13"/>
  <c r="L23" i="16"/>
  <c r="O23" i="16" s="1"/>
  <c r="P23" i="16" s="1"/>
  <c r="L78" i="13"/>
  <c r="I78" i="13"/>
  <c r="L54" i="13"/>
  <c r="I54" i="13"/>
  <c r="I75" i="13"/>
  <c r="L75" i="13"/>
  <c r="L37" i="13"/>
  <c r="I37" i="13"/>
  <c r="O7" i="2"/>
  <c r="V48" i="13"/>
  <c r="X48" i="13" s="1"/>
  <c r="L28" i="13"/>
  <c r="I28" i="13"/>
  <c r="L17" i="16"/>
  <c r="O17" i="16" s="1"/>
  <c r="P17" i="16" s="1"/>
  <c r="L74" i="13"/>
  <c r="I74" i="13"/>
  <c r="J72" i="13" s="1"/>
  <c r="N72" i="13" s="1"/>
  <c r="L21" i="16"/>
  <c r="O21" i="16" s="1"/>
  <c r="P21" i="16" s="1"/>
  <c r="I83" i="13"/>
  <c r="L83" i="13"/>
  <c r="I38" i="13"/>
  <c r="L38" i="13"/>
  <c r="I34" i="13"/>
  <c r="L34" i="13"/>
  <c r="L17" i="13"/>
  <c r="I17" i="13"/>
  <c r="L8" i="16"/>
  <c r="O8" i="16" s="1"/>
  <c r="P8" i="16" s="1"/>
  <c r="Q2" i="16" s="1"/>
  <c r="I59" i="13"/>
  <c r="L59" i="13"/>
  <c r="U10" i="2"/>
  <c r="I30" i="13"/>
  <c r="L30" i="13"/>
  <c r="L81" i="13"/>
  <c r="I81" i="13"/>
  <c r="O17" i="2"/>
  <c r="U12" i="2"/>
  <c r="L26" i="16"/>
  <c r="O26" i="16" s="1"/>
  <c r="P26" i="16" s="1"/>
  <c r="L24" i="16"/>
  <c r="O24" i="16" s="1"/>
  <c r="P24" i="16" s="1"/>
  <c r="L57" i="13"/>
  <c r="I57" i="13"/>
  <c r="I79" i="13"/>
  <c r="L79" i="13"/>
  <c r="L49" i="13"/>
  <c r="I49" i="13"/>
  <c r="V72" i="13"/>
  <c r="X72" i="13" s="1"/>
  <c r="M72" i="13"/>
  <c r="X292" i="1"/>
  <c r="X281" i="1"/>
  <c r="X243" i="1"/>
  <c r="X269" i="1"/>
  <c r="X279" i="1"/>
  <c r="L7" i="13"/>
  <c r="I7" i="13"/>
  <c r="I6" i="13"/>
  <c r="L6" i="13"/>
  <c r="X268" i="1"/>
  <c r="X183" i="1"/>
  <c r="X94" i="1"/>
  <c r="X237" i="1"/>
  <c r="W167" i="1"/>
  <c r="Y167" i="1" s="1"/>
  <c r="X266" i="1"/>
  <c r="X247" i="1"/>
  <c r="X234" i="1"/>
  <c r="X154" i="1"/>
  <c r="W196" i="1"/>
  <c r="Y196" i="1" s="1"/>
  <c r="X297" i="1"/>
  <c r="X143" i="1"/>
  <c r="X12" i="1"/>
  <c r="X218" i="1"/>
  <c r="X64" i="1"/>
  <c r="X72" i="1"/>
  <c r="X56" i="1"/>
  <c r="X140" i="1"/>
  <c r="X26" i="1"/>
  <c r="W271" i="1"/>
  <c r="X151" i="1"/>
  <c r="X81" i="1"/>
  <c r="X23" i="1"/>
  <c r="N39" i="16"/>
  <c r="AQ22" i="2" s="1"/>
  <c r="O20" i="16"/>
  <c r="P20" i="16" s="1"/>
  <c r="L33" i="16"/>
  <c r="O33" i="16" s="1"/>
  <c r="P33" i="16" s="1"/>
  <c r="O25" i="16"/>
  <c r="P25" i="16" s="1"/>
  <c r="O29" i="16"/>
  <c r="P29" i="16" s="1"/>
  <c r="O22" i="16"/>
  <c r="P22" i="16" s="1"/>
  <c r="O37" i="16"/>
  <c r="P37" i="16" s="1"/>
  <c r="O10" i="16"/>
  <c r="P10" i="16" s="1"/>
  <c r="O38" i="16"/>
  <c r="P38" i="16" s="1"/>
  <c r="O32" i="16"/>
  <c r="P32" i="16" s="1"/>
  <c r="O27" i="16"/>
  <c r="P27" i="16" s="1"/>
  <c r="X4" i="1"/>
  <c r="X21" i="1"/>
  <c r="X37" i="1"/>
  <c r="X28" i="1"/>
  <c r="X264" i="1"/>
  <c r="X40" i="1"/>
  <c r="X88" i="1"/>
  <c r="X68" i="1"/>
  <c r="X32" i="1"/>
  <c r="X220" i="1"/>
  <c r="X250" i="1"/>
  <c r="X231" i="1"/>
  <c r="W206" i="1"/>
  <c r="Y206" i="1" s="1"/>
  <c r="X145" i="1"/>
  <c r="X84" i="1"/>
  <c r="X9" i="1"/>
  <c r="X51" i="1"/>
  <c r="X31" i="1"/>
  <c r="W193" i="1"/>
  <c r="Y193" i="1" s="1"/>
  <c r="X57" i="1"/>
  <c r="X8" i="1"/>
  <c r="X83" i="1"/>
  <c r="W247" i="1"/>
  <c r="Y247" i="1" s="1"/>
  <c r="X206" i="1"/>
  <c r="X55" i="1"/>
  <c r="X265" i="1"/>
  <c r="X252" i="1"/>
  <c r="X186" i="1"/>
  <c r="X127" i="1"/>
  <c r="X52" i="1"/>
  <c r="X263" i="1"/>
  <c r="X33" i="1"/>
  <c r="W292" i="1"/>
  <c r="Y292" i="1" s="1"/>
  <c r="W281" i="1"/>
  <c r="Y281" i="1" s="1"/>
  <c r="X6" i="1"/>
  <c r="X132" i="1"/>
  <c r="X35" i="1"/>
  <c r="X90" i="1"/>
  <c r="W240" i="1"/>
  <c r="Y240" i="1" s="1"/>
  <c r="X196" i="1"/>
  <c r="W218" i="1"/>
  <c r="Y218" i="1" s="1"/>
  <c r="X271" i="1"/>
  <c r="X233" i="1"/>
  <c r="W234" i="1"/>
  <c r="Y234" i="1" s="1"/>
  <c r="X276" i="1"/>
  <c r="X280" i="1"/>
  <c r="W266" i="1"/>
  <c r="Y266" i="1" s="1"/>
  <c r="W237" i="1"/>
  <c r="Y237" i="1" s="1"/>
  <c r="X158" i="1"/>
  <c r="W227" i="1"/>
  <c r="Y227" i="1" s="1"/>
  <c r="W216" i="1"/>
  <c r="W246" i="1"/>
  <c r="Y246" i="1" s="1"/>
  <c r="X193" i="1"/>
  <c r="X215" i="1"/>
  <c r="X147" i="1"/>
  <c r="X188" i="1"/>
  <c r="X216" i="1"/>
  <c r="W272" i="1"/>
  <c r="Y272" i="1" s="1"/>
  <c r="X272" i="1"/>
  <c r="W188" i="1"/>
  <c r="Y188" i="1" s="1"/>
  <c r="X240" i="1"/>
  <c r="W97" i="1"/>
  <c r="Y97" i="1" s="1"/>
  <c r="X246" i="1"/>
  <c r="W231" i="1"/>
  <c r="Y231" i="1" s="1"/>
  <c r="W243" i="1"/>
  <c r="Y243" i="1" s="1"/>
  <c r="W280" i="1"/>
  <c r="Y280" i="1" s="1"/>
  <c r="W215" i="1"/>
  <c r="X274" i="1"/>
  <c r="W252" i="1"/>
  <c r="W268" i="1"/>
  <c r="Y268" i="1" s="1"/>
  <c r="X157" i="1"/>
  <c r="T27" i="13"/>
  <c r="U27" i="13"/>
  <c r="W27" i="13" s="1"/>
  <c r="M6" i="13"/>
  <c r="V6" i="13"/>
  <c r="X6" i="13" s="1"/>
  <c r="W217" i="1"/>
  <c r="X277" i="1"/>
  <c r="W202" i="1"/>
  <c r="Y202" i="1" s="1"/>
  <c r="W225" i="1"/>
  <c r="Y225" i="1" s="1"/>
  <c r="W278" i="1"/>
  <c r="Y278" i="1" s="1"/>
  <c r="W187" i="1"/>
  <c r="Y187" i="1" s="1"/>
  <c r="X187" i="1"/>
  <c r="W214" i="1"/>
  <c r="X208" i="1"/>
  <c r="W253" i="1"/>
  <c r="Y253" i="1" s="1"/>
  <c r="X212" i="1"/>
  <c r="W212" i="1"/>
  <c r="Y212" i="1" s="1"/>
  <c r="X242" i="1"/>
  <c r="X245" i="1"/>
  <c r="X192" i="1"/>
  <c r="W277" i="1"/>
  <c r="Y277" i="1" s="1"/>
  <c r="W274" i="1"/>
  <c r="Y274" i="1" s="1"/>
  <c r="X190" i="1"/>
  <c r="W190" i="1"/>
  <c r="Y190" i="1" s="1"/>
  <c r="W208" i="1"/>
  <c r="Y208" i="1" s="1"/>
  <c r="W204" i="1"/>
  <c r="X287" i="1"/>
  <c r="W287" i="1"/>
  <c r="Y287" i="1" s="1"/>
  <c r="W236" i="1"/>
  <c r="Y236" i="1" s="1"/>
  <c r="W197" i="1"/>
  <c r="Y197" i="1" s="1"/>
  <c r="X249" i="1"/>
  <c r="W249" i="1"/>
  <c r="Y249" i="1" s="1"/>
  <c r="W264" i="1"/>
  <c r="Y264" i="1" s="1"/>
  <c r="X236" i="1"/>
  <c r="W245" i="1"/>
  <c r="Y245" i="1" s="1"/>
  <c r="X202" i="1"/>
  <c r="W219" i="1"/>
  <c r="Y219" i="1" s="1"/>
  <c r="W250" i="1"/>
  <c r="Y250" i="1" s="1"/>
  <c r="W282" i="1"/>
  <c r="Y282" i="1" s="1"/>
  <c r="X239" i="1"/>
  <c r="W241" i="1"/>
  <c r="Y241" i="1" s="1"/>
  <c r="X197" i="1"/>
  <c r="X235" i="1"/>
  <c r="W233" i="1"/>
  <c r="Y233" i="1" s="1"/>
  <c r="W279" i="1"/>
  <c r="Y279" i="1" s="1"/>
  <c r="W255" i="1"/>
  <c r="Y255" i="1" s="1"/>
  <c r="W191" i="1"/>
  <c r="Y191" i="1" s="1"/>
  <c r="W235" i="1"/>
  <c r="Y235" i="1" s="1"/>
  <c r="X195" i="1"/>
  <c r="X209" i="1"/>
  <c r="W209" i="1"/>
  <c r="Y209" i="1" s="1"/>
  <c r="W244" i="1"/>
  <c r="Y244" i="1" s="1"/>
  <c r="X214" i="1"/>
  <c r="X254" i="1"/>
  <c r="W254" i="1"/>
  <c r="Y254" i="1" s="1"/>
  <c r="W239" i="1"/>
  <c r="Y239" i="1" s="1"/>
  <c r="X273" i="1"/>
  <c r="W273" i="1"/>
  <c r="Y273" i="1" s="1"/>
  <c r="W276" i="1"/>
  <c r="Y276" i="1" s="1"/>
  <c r="W275" i="1"/>
  <c r="Y275" i="1" s="1"/>
  <c r="X241" i="1"/>
  <c r="W189" i="1"/>
  <c r="Y189" i="1" s="1"/>
  <c r="X253" i="1"/>
  <c r="W283" i="1"/>
  <c r="Y283" i="1" s="1"/>
  <c r="X267" i="1"/>
  <c r="W220" i="1"/>
  <c r="Y220" i="1" s="1"/>
  <c r="W269" i="1"/>
  <c r="Y269" i="1" s="1"/>
  <c r="X225" i="1"/>
  <c r="X205" i="1"/>
  <c r="X189" i="1"/>
  <c r="X191" i="1"/>
  <c r="X213" i="1"/>
  <c r="W213" i="1"/>
  <c r="Y213" i="1" s="1"/>
  <c r="X282" i="1"/>
  <c r="W267" i="1"/>
  <c r="Y267" i="1" s="1"/>
  <c r="W265" i="1"/>
  <c r="Y265" i="1" s="1"/>
  <c r="W230" i="1"/>
  <c r="Y230" i="1" s="1"/>
  <c r="X255" i="1"/>
  <c r="W207" i="1"/>
  <c r="Y207" i="1" s="1"/>
  <c r="X230" i="1"/>
  <c r="W205" i="1"/>
  <c r="Y205" i="1" s="1"/>
  <c r="X251" i="1"/>
  <c r="W194" i="1"/>
  <c r="Y194" i="1" s="1"/>
  <c r="W263" i="1"/>
  <c r="Y263" i="1" s="1"/>
  <c r="W248" i="1"/>
  <c r="Y248" i="1" s="1"/>
  <c r="X244" i="1"/>
  <c r="W238" i="1"/>
  <c r="Y238" i="1" s="1"/>
  <c r="X278" i="1"/>
  <c r="W195" i="1"/>
  <c r="Y195" i="1" s="1"/>
  <c r="W251" i="1"/>
  <c r="Y251" i="1" s="1"/>
  <c r="W192" i="1"/>
  <c r="Y192" i="1" s="1"/>
  <c r="X207" i="1"/>
  <c r="X275" i="1"/>
  <c r="W284" i="1"/>
  <c r="Y284" i="1" s="1"/>
  <c r="X283" i="1"/>
  <c r="X217" i="1"/>
  <c r="X204" i="1"/>
  <c r="W174" i="1"/>
  <c r="Y174" i="1" s="1"/>
  <c r="X184" i="1"/>
  <c r="X174" i="1"/>
  <c r="W184" i="1"/>
  <c r="Y184" i="1" s="1"/>
  <c r="W186" i="1"/>
  <c r="Y186" i="1" s="1"/>
  <c r="X180" i="1"/>
  <c r="W180" i="1"/>
  <c r="Y180" i="1" s="1"/>
  <c r="W183" i="1"/>
  <c r="Y183" i="1" s="1"/>
  <c r="W185" i="1"/>
  <c r="Y185" i="1" s="1"/>
  <c r="X182" i="1"/>
  <c r="W182" i="1"/>
  <c r="W181" i="1"/>
  <c r="Y181" i="1" s="1"/>
  <c r="W169" i="1"/>
  <c r="Y169" i="1" s="1"/>
  <c r="X169" i="1"/>
  <c r="W166" i="1"/>
  <c r="Y166" i="1" s="1"/>
  <c r="X166" i="1"/>
  <c r="W165" i="1"/>
  <c r="X165" i="1"/>
  <c r="W164" i="1"/>
  <c r="Y164" i="1" s="1"/>
  <c r="X164" i="1"/>
  <c r="W163" i="1"/>
  <c r="Y163" i="1" s="1"/>
  <c r="W162" i="1"/>
  <c r="Y162" i="1" s="1"/>
  <c r="X162" i="1"/>
  <c r="W161" i="1"/>
  <c r="Y161" i="1" s="1"/>
  <c r="X161" i="1"/>
  <c r="W160" i="1"/>
  <c r="Y160" i="1" s="1"/>
  <c r="X160" i="1"/>
  <c r="W159" i="1"/>
  <c r="Y159" i="1" s="1"/>
  <c r="X159" i="1"/>
  <c r="W158" i="1"/>
  <c r="Y158" i="1" s="1"/>
  <c r="W35" i="1"/>
  <c r="Y35" i="1" s="1"/>
  <c r="X53" i="1"/>
  <c r="W40" i="1"/>
  <c r="X150" i="1"/>
  <c r="W86" i="1"/>
  <c r="Y86" i="1" s="1"/>
  <c r="W297" i="1"/>
  <c r="Y297" i="1" s="1"/>
  <c r="W43" i="1"/>
  <c r="Y43" i="1" s="1"/>
  <c r="W22" i="1"/>
  <c r="Y22" i="1" s="1"/>
  <c r="W33" i="1"/>
  <c r="Y33" i="1" s="1"/>
  <c r="X43" i="1"/>
  <c r="W14" i="1"/>
  <c r="Y14" i="1" s="1"/>
  <c r="X34" i="1"/>
  <c r="X149" i="1"/>
  <c r="W296" i="1"/>
  <c r="Y296" i="1" s="1"/>
  <c r="W81" i="1"/>
  <c r="Y81" i="1" s="1"/>
  <c r="X17" i="1"/>
  <c r="W64" i="1"/>
  <c r="Y64" i="1" s="1"/>
  <c r="W34" i="1"/>
  <c r="Y34" i="1" s="1"/>
  <c r="X138" i="1"/>
  <c r="W72" i="1"/>
  <c r="Y72" i="1" s="1"/>
  <c r="W21" i="1"/>
  <c r="Y21" i="1" s="1"/>
  <c r="W67" i="1"/>
  <c r="Y67" i="1" s="1"/>
  <c r="W121" i="1"/>
  <c r="Y121" i="1" s="1"/>
  <c r="W58" i="1"/>
  <c r="Y58" i="1" s="1"/>
  <c r="X114" i="1"/>
  <c r="W8" i="1"/>
  <c r="Y8" i="1" s="1"/>
  <c r="W145" i="1"/>
  <c r="Y145" i="1" s="1"/>
  <c r="X48" i="1"/>
  <c r="W54" i="1"/>
  <c r="Y54" i="1" s="1"/>
  <c r="W142" i="1"/>
  <c r="Y142" i="1" s="1"/>
  <c r="X62" i="1"/>
  <c r="W125" i="1"/>
  <c r="Y125" i="1" s="1"/>
  <c r="W57" i="1"/>
  <c r="Y57" i="1" s="1"/>
  <c r="W155" i="1"/>
  <c r="Y155" i="1" s="1"/>
  <c r="X67" i="1"/>
  <c r="W26" i="1"/>
  <c r="Y26" i="1" s="1"/>
  <c r="W15" i="1"/>
  <c r="Y15" i="1" s="1"/>
  <c r="W147" i="1"/>
  <c r="Y147" i="1" s="1"/>
  <c r="W52" i="1"/>
  <c r="Y52" i="1" s="1"/>
  <c r="W23" i="1"/>
  <c r="Y23" i="1" s="1"/>
  <c r="W71" i="1"/>
  <c r="Y71" i="1" s="1"/>
  <c r="W55" i="1"/>
  <c r="Y55" i="1" s="1"/>
  <c r="W157" i="1"/>
  <c r="Y157" i="1" s="1"/>
  <c r="W83" i="1"/>
  <c r="Y83" i="1" s="1"/>
  <c r="W124" i="1"/>
  <c r="Y124" i="1" s="1"/>
  <c r="X13" i="1"/>
  <c r="X97" i="1"/>
  <c r="X22" i="1"/>
  <c r="W113" i="1"/>
  <c r="Y113" i="1" s="1"/>
  <c r="W93" i="1"/>
  <c r="Y93" i="1" s="1"/>
  <c r="W115" i="1"/>
  <c r="Y115" i="1" s="1"/>
  <c r="W11" i="1"/>
  <c r="Y11" i="1" s="1"/>
  <c r="W31" i="1"/>
  <c r="Y31" i="1" s="1"/>
  <c r="W98" i="1"/>
  <c r="Y98" i="1" s="1"/>
  <c r="X121" i="1"/>
  <c r="X7" i="1"/>
  <c r="W140" i="1"/>
  <c r="Y140" i="1" s="1"/>
  <c r="X11" i="1"/>
  <c r="X115" i="1"/>
  <c r="W68" i="1"/>
  <c r="Y68" i="1" s="1"/>
  <c r="W96" i="1"/>
  <c r="Y96" i="1" s="1"/>
  <c r="W32" i="1"/>
  <c r="Y32" i="1" s="1"/>
  <c r="X99" i="1"/>
  <c r="X24" i="1"/>
  <c r="W138" i="1"/>
  <c r="Y138" i="1" s="1"/>
  <c r="W123" i="1"/>
  <c r="Y123" i="1" s="1"/>
  <c r="W84" i="1"/>
  <c r="Y84" i="1" s="1"/>
  <c r="X100" i="1"/>
  <c r="X58" i="1"/>
  <c r="W131" i="1"/>
  <c r="Y131" i="1" s="1"/>
  <c r="X123" i="1"/>
  <c r="W41" i="1"/>
  <c r="Y41" i="1" s="1"/>
  <c r="W4" i="1"/>
  <c r="Y4" i="1" s="1"/>
  <c r="X93" i="1"/>
  <c r="W92" i="1"/>
  <c r="Y92" i="1" s="1"/>
  <c r="W153" i="1"/>
  <c r="Y153" i="1" s="1"/>
  <c r="X113" i="1"/>
  <c r="X124" i="1"/>
  <c r="W152" i="1"/>
  <c r="Y152" i="1" s="1"/>
  <c r="X89" i="1"/>
  <c r="X125" i="1"/>
  <c r="X92" i="1"/>
  <c r="W53" i="1"/>
  <c r="Y53" i="1" s="1"/>
  <c r="X18" i="1"/>
  <c r="W134" i="1"/>
  <c r="Y134" i="1" s="1"/>
  <c r="W151" i="1"/>
  <c r="Y151" i="1" s="1"/>
  <c r="W89" i="1"/>
  <c r="Y89" i="1" s="1"/>
  <c r="W27" i="1"/>
  <c r="Y27" i="1" s="1"/>
  <c r="W94" i="1"/>
  <c r="Y94" i="1" s="1"/>
  <c r="X54" i="1"/>
  <c r="X288" i="1"/>
  <c r="W62" i="1"/>
  <c r="Y62" i="1" s="1"/>
  <c r="X36" i="1"/>
  <c r="X98" i="1"/>
  <c r="W90" i="1"/>
  <c r="Y90" i="1" s="1"/>
  <c r="W126" i="1"/>
  <c r="Y126" i="1" s="1"/>
  <c r="X86" i="1"/>
  <c r="X152" i="1"/>
  <c r="W288" i="1"/>
  <c r="Y288" i="1" s="1"/>
  <c r="W18" i="1"/>
  <c r="Y18" i="1" s="1"/>
  <c r="W78" i="1"/>
  <c r="Y78" i="1" s="1"/>
  <c r="W28" i="1"/>
  <c r="Y28" i="1" s="1"/>
  <c r="X120" i="1"/>
  <c r="W100" i="1"/>
  <c r="Y100" i="1" s="1"/>
  <c r="W24" i="1"/>
  <c r="Y24" i="1" s="1"/>
  <c r="X134" i="1"/>
  <c r="W149" i="1"/>
  <c r="Y149" i="1" s="1"/>
  <c r="W127" i="1"/>
  <c r="Y127" i="1" s="1"/>
  <c r="X66" i="1"/>
  <c r="X139" i="1"/>
  <c r="X16" i="1"/>
  <c r="W99" i="1"/>
  <c r="Y99" i="1" s="1"/>
  <c r="X71" i="1"/>
  <c r="W36" i="1"/>
  <c r="Y36" i="1" s="1"/>
  <c r="X15" i="1"/>
  <c r="X289" i="1"/>
  <c r="W56" i="1"/>
  <c r="Y56" i="1" s="1"/>
  <c r="X131" i="1"/>
  <c r="X45" i="1"/>
  <c r="X129" i="1"/>
  <c r="W7" i="1"/>
  <c r="Y7" i="1" s="1"/>
  <c r="X25" i="1"/>
  <c r="W6" i="1"/>
  <c r="Y6" i="1" s="1"/>
  <c r="X14" i="1"/>
  <c r="W51" i="1"/>
  <c r="Y51" i="1" s="1"/>
  <c r="X41" i="1"/>
  <c r="W132" i="1"/>
  <c r="Y132" i="1" s="1"/>
  <c r="X10" i="1"/>
  <c r="W137" i="1"/>
  <c r="Y137" i="1" s="1"/>
  <c r="W136" i="1"/>
  <c r="Y136" i="1" s="1"/>
  <c r="X153" i="1"/>
  <c r="X47" i="1"/>
  <c r="W47" i="1"/>
  <c r="Y47" i="1" s="1"/>
  <c r="X137" i="1"/>
  <c r="W116" i="1"/>
  <c r="Y116" i="1" s="1"/>
  <c r="X126" i="1"/>
  <c r="X136" i="1"/>
  <c r="W143" i="1"/>
  <c r="Y143" i="1" s="1"/>
  <c r="X61" i="1"/>
  <c r="W61" i="1"/>
  <c r="Y61" i="1" s="1"/>
  <c r="W48" i="1"/>
  <c r="Y48" i="1" s="1"/>
  <c r="X27" i="1"/>
  <c r="X146" i="1"/>
  <c r="W65" i="1"/>
  <c r="Y65" i="1" s="1"/>
  <c r="W294" i="1"/>
  <c r="Y294" i="1" s="1"/>
  <c r="W141" i="1"/>
  <c r="Y141" i="1" s="1"/>
  <c r="W129" i="1"/>
  <c r="Y129" i="1" s="1"/>
  <c r="W69" i="1"/>
  <c r="Y69" i="1" s="1"/>
  <c r="X69" i="1"/>
  <c r="X5" i="1"/>
  <c r="W5" i="1"/>
  <c r="Y5" i="1" s="1"/>
  <c r="X142" i="1"/>
  <c r="W37" i="1"/>
  <c r="Y37" i="1" s="1"/>
  <c r="W29" i="1"/>
  <c r="Y29" i="1" s="1"/>
  <c r="X29" i="1"/>
  <c r="W290" i="1"/>
  <c r="Y290" i="1" s="1"/>
  <c r="W9" i="1"/>
  <c r="Y9" i="1" s="1"/>
  <c r="W154" i="1"/>
  <c r="Y154" i="1" s="1"/>
  <c r="X78" i="1"/>
  <c r="W120" i="1"/>
  <c r="Y120" i="1" s="1"/>
  <c r="W76" i="1"/>
  <c r="Y76" i="1" s="1"/>
  <c r="W25" i="1"/>
  <c r="Y25" i="1" s="1"/>
  <c r="W12" i="1"/>
  <c r="Y12" i="1" s="1"/>
  <c r="W16" i="1"/>
  <c r="Y16" i="1" s="1"/>
  <c r="X42" i="1"/>
  <c r="W144" i="1"/>
  <c r="Y144" i="1" s="1"/>
  <c r="X144" i="1"/>
  <c r="W70" i="1"/>
  <c r="Y70" i="1" s="1"/>
  <c r="X87" i="1"/>
  <c r="W87" i="1"/>
  <c r="Y87" i="1" s="1"/>
  <c r="W74" i="1"/>
  <c r="Y74" i="1" s="1"/>
  <c r="X74" i="1"/>
  <c r="X19" i="1"/>
  <c r="W19" i="1"/>
  <c r="Y19" i="1" s="1"/>
  <c r="W88" i="1"/>
  <c r="Y88" i="1" s="1"/>
  <c r="W130" i="1"/>
  <c r="Y130" i="1" s="1"/>
  <c r="X290" i="1"/>
  <c r="W17" i="1"/>
  <c r="Y17" i="1" s="1"/>
  <c r="X76" i="1"/>
  <c r="W66" i="1"/>
  <c r="Y66" i="1" s="1"/>
  <c r="W156" i="1"/>
  <c r="Y156" i="1" s="1"/>
  <c r="W45" i="1"/>
  <c r="Y45" i="1" s="1"/>
  <c r="X39" i="1"/>
  <c r="W39" i="1"/>
  <c r="Y39" i="1" s="1"/>
  <c r="W38" i="1"/>
  <c r="Y38" i="1" s="1"/>
  <c r="X38" i="1"/>
  <c r="X116" i="1"/>
  <c r="W13" i="1"/>
  <c r="Y13" i="1" s="1"/>
  <c r="W119" i="1"/>
  <c r="Y119" i="1" s="1"/>
  <c r="X30" i="1"/>
  <c r="W30" i="1"/>
  <c r="Y30" i="1" s="1"/>
  <c r="X296" i="1"/>
  <c r="W95" i="1"/>
  <c r="Y95" i="1" s="1"/>
  <c r="X95" i="1"/>
  <c r="W75" i="1"/>
  <c r="Y75" i="1" s="1"/>
  <c r="X75" i="1"/>
  <c r="W59" i="1"/>
  <c r="Y59" i="1" s="1"/>
  <c r="X59" i="1"/>
  <c r="X156" i="1"/>
  <c r="W117" i="1"/>
  <c r="Y117" i="1" s="1"/>
  <c r="W150" i="1"/>
  <c r="Y150" i="1" s="1"/>
  <c r="W122" i="1"/>
  <c r="Y122" i="1" s="1"/>
  <c r="X122" i="1"/>
  <c r="W128" i="1"/>
  <c r="Y128" i="1" s="1"/>
  <c r="X128" i="1"/>
  <c r="W50" i="1"/>
  <c r="Y50" i="1" s="1"/>
  <c r="X50" i="1"/>
  <c r="W118" i="1"/>
  <c r="Y118" i="1" s="1"/>
  <c r="X118" i="1"/>
  <c r="W79" i="1"/>
  <c r="Y79" i="1" s="1"/>
  <c r="X79" i="1"/>
  <c r="X49" i="1"/>
  <c r="W49" i="1"/>
  <c r="Y49" i="1" s="1"/>
  <c r="W44" i="1"/>
  <c r="Y44" i="1" s="1"/>
  <c r="X44" i="1"/>
  <c r="W139" i="1"/>
  <c r="Y139" i="1" s="1"/>
  <c r="W10" i="1"/>
  <c r="Y10" i="1" s="1"/>
  <c r="W289" i="1"/>
  <c r="Y289" i="1" s="1"/>
  <c r="W101" i="1"/>
  <c r="Y101" i="1" s="1"/>
  <c r="X101" i="1"/>
  <c r="W63" i="1"/>
  <c r="Y63" i="1" s="1"/>
  <c r="X63" i="1"/>
  <c r="X294" i="1"/>
  <c r="X135" i="1"/>
  <c r="W135" i="1"/>
  <c r="Y135" i="1" s="1"/>
  <c r="X141" i="1"/>
  <c r="W148" i="1"/>
  <c r="Y148" i="1" s="1"/>
  <c r="X148" i="1"/>
  <c r="X130" i="1"/>
  <c r="W295" i="1"/>
  <c r="Y295" i="1" s="1"/>
  <c r="X295" i="1"/>
  <c r="W2" i="1"/>
  <c r="Y2" i="1" s="1"/>
  <c r="X2" i="1"/>
  <c r="W146" i="1"/>
  <c r="Y146" i="1" s="1"/>
  <c r="X117" i="1"/>
  <c r="W60" i="1"/>
  <c r="Y60" i="1" s="1"/>
  <c r="X60" i="1"/>
  <c r="U2" i="2" s="1"/>
  <c r="W114" i="1"/>
  <c r="Y114" i="1" s="1"/>
  <c r="W293" i="1"/>
  <c r="Y293" i="1" s="1"/>
  <c r="X293" i="1"/>
  <c r="X119" i="1"/>
  <c r="X155" i="1"/>
  <c r="X70" i="1"/>
  <c r="X96" i="1"/>
  <c r="X65" i="1"/>
  <c r="W42" i="1"/>
  <c r="Y42" i="1" s="1"/>
  <c r="Y204" i="1" l="1"/>
  <c r="J9" i="2" s="1"/>
  <c r="Y215" i="1"/>
  <c r="Y271" i="1"/>
  <c r="J10" i="2" s="1"/>
  <c r="K10" i="2" s="1"/>
  <c r="Y182" i="1"/>
  <c r="J12" i="2" s="1"/>
  <c r="Y40" i="1"/>
  <c r="Y252" i="1"/>
  <c r="J4" i="2" s="1"/>
  <c r="Y217" i="1"/>
  <c r="J5" i="2" s="1"/>
  <c r="Y216" i="1"/>
  <c r="J6" i="2" s="1"/>
  <c r="Y165" i="1"/>
  <c r="Y214" i="1"/>
  <c r="J3" i="2" s="1"/>
  <c r="K3" i="2" s="1"/>
  <c r="J7" i="2"/>
  <c r="Q17" i="2"/>
  <c r="P17" i="2"/>
  <c r="J15" i="2"/>
  <c r="K15" i="2" s="1"/>
  <c r="O16" i="2"/>
  <c r="AR22" i="2"/>
  <c r="AS22" i="2"/>
  <c r="U221" i="1"/>
  <c r="T221" i="1"/>
  <c r="V221" i="1"/>
  <c r="V256" i="1"/>
  <c r="U256" i="1"/>
  <c r="T256" i="1"/>
  <c r="V257" i="1"/>
  <c r="U257" i="1"/>
  <c r="T257" i="1"/>
  <c r="V291" i="1"/>
  <c r="T291" i="1"/>
  <c r="U291" i="1"/>
  <c r="V259" i="1"/>
  <c r="U259" i="1"/>
  <c r="T259" i="1"/>
  <c r="J2" i="2"/>
  <c r="K2" i="2" s="1"/>
  <c r="J11" i="2"/>
  <c r="K11" i="2" s="1"/>
  <c r="P13" i="2"/>
  <c r="Q20" i="2"/>
  <c r="Q18" i="2"/>
  <c r="T18" i="2"/>
  <c r="U18" i="2" s="1"/>
  <c r="T20" i="2"/>
  <c r="U20" i="2" s="1"/>
  <c r="T13" i="2"/>
  <c r="Q13" i="2"/>
  <c r="W222" i="1"/>
  <c r="Y222" i="1" s="1"/>
  <c r="P18" i="2"/>
  <c r="P20" i="2"/>
  <c r="X229" i="1"/>
  <c r="X228" i="1"/>
  <c r="X285" i="1"/>
  <c r="X109" i="1"/>
  <c r="X270" i="1"/>
  <c r="X210" i="1"/>
  <c r="W211" i="1"/>
  <c r="Y211" i="1" s="1"/>
  <c r="X104" i="1"/>
  <c r="W108" i="1"/>
  <c r="Y108" i="1" s="1"/>
  <c r="W168" i="1"/>
  <c r="Y168" i="1" s="1"/>
  <c r="W270" i="1"/>
  <c r="Y270" i="1" s="1"/>
  <c r="X232" i="1"/>
  <c r="W228" i="1"/>
  <c r="Y228" i="1" s="1"/>
  <c r="W229" i="1"/>
  <c r="Y229" i="1" s="1"/>
  <c r="X108" i="1"/>
  <c r="X107" i="1"/>
  <c r="X211" i="1"/>
  <c r="W286" i="1"/>
  <c r="Y286" i="1" s="1"/>
  <c r="W109" i="1"/>
  <c r="Y109" i="1" s="1"/>
  <c r="W210" i="1"/>
  <c r="Y210" i="1" s="1"/>
  <c r="X168" i="1"/>
  <c r="W103" i="1"/>
  <c r="Y103" i="1" s="1"/>
  <c r="W106" i="1"/>
  <c r="Y106" i="1" s="1"/>
  <c r="W285" i="1"/>
  <c r="Y285" i="1" s="1"/>
  <c r="X286" i="1"/>
  <c r="W232" i="1"/>
  <c r="Y232" i="1" s="1"/>
  <c r="W112" i="1"/>
  <c r="Y112" i="1" s="1"/>
  <c r="W102" i="1"/>
  <c r="Y102" i="1" s="1"/>
  <c r="X102" i="1"/>
  <c r="W104" i="1"/>
  <c r="Y104" i="1" s="1"/>
  <c r="W105" i="1"/>
  <c r="Y105" i="1" s="1"/>
  <c r="X111" i="1"/>
  <c r="X112" i="1"/>
  <c r="W107" i="1"/>
  <c r="Y107" i="1" s="1"/>
  <c r="W110" i="1"/>
  <c r="Y110" i="1" s="1"/>
  <c r="W111" i="1"/>
  <c r="Y111" i="1" s="1"/>
  <c r="X105" i="1"/>
  <c r="X103" i="1"/>
  <c r="X110" i="1"/>
  <c r="X106" i="1"/>
  <c r="X177" i="1"/>
  <c r="X173" i="1"/>
  <c r="U15" i="2"/>
  <c r="U11" i="2"/>
  <c r="U17" i="2"/>
  <c r="X200" i="1"/>
  <c r="X179" i="1"/>
  <c r="X203" i="1"/>
  <c r="Q12" i="16"/>
  <c r="X199" i="1"/>
  <c r="X201" i="1"/>
  <c r="J6" i="13"/>
  <c r="N6" i="13" s="1"/>
  <c r="J48" i="13"/>
  <c r="N48" i="13" s="1"/>
  <c r="J27" i="13"/>
  <c r="N27" i="13" s="1"/>
  <c r="O13" i="2"/>
  <c r="Q30" i="16"/>
  <c r="W203" i="1"/>
  <c r="Y203" i="1" s="1"/>
  <c r="W177" i="1"/>
  <c r="Y177" i="1" s="1"/>
  <c r="W176" i="1"/>
  <c r="Y176" i="1" s="1"/>
  <c r="X198" i="1"/>
  <c r="W198" i="1"/>
  <c r="W179" i="1"/>
  <c r="Y179" i="1" s="1"/>
  <c r="W201" i="1"/>
  <c r="W178" i="1"/>
  <c r="Y178" i="1" s="1"/>
  <c r="X178" i="1"/>
  <c r="X176" i="1"/>
  <c r="X175" i="1"/>
  <c r="W175" i="1"/>
  <c r="Y175" i="1" s="1"/>
  <c r="W172" i="1"/>
  <c r="Y172" i="1" s="1"/>
  <c r="W200" i="1"/>
  <c r="Y200" i="1" s="1"/>
  <c r="W199" i="1"/>
  <c r="Y199" i="1" s="1"/>
  <c r="X172" i="1"/>
  <c r="W91" i="1"/>
  <c r="Y91" i="1" s="1"/>
  <c r="X91" i="1"/>
  <c r="W171" i="1"/>
  <c r="Y171" i="1" s="1"/>
  <c r="Q21" i="16"/>
  <c r="X171" i="1"/>
  <c r="W173" i="1"/>
  <c r="Y173" i="1" s="1"/>
  <c r="X170" i="1"/>
  <c r="W170" i="1"/>
  <c r="Y170" i="1" s="1"/>
  <c r="V27" i="13"/>
  <c r="X27" i="13" s="1"/>
  <c r="M27" i="13"/>
  <c r="W262" i="1"/>
  <c r="Y262" i="1" s="1"/>
  <c r="W242" i="1"/>
  <c r="Y242" i="1" s="1"/>
  <c r="AL22" i="2"/>
  <c r="AK22" i="2"/>
  <c r="R9" i="2" l="1"/>
  <c r="S9" i="2" s="1"/>
  <c r="K9" i="2"/>
  <c r="R3" i="2"/>
  <c r="S3" i="2" s="1"/>
  <c r="R6" i="2"/>
  <c r="S6" i="2" s="1"/>
  <c r="K6" i="2"/>
  <c r="K5" i="2"/>
  <c r="R5" i="2"/>
  <c r="S5" i="2" s="1"/>
  <c r="K4" i="2"/>
  <c r="R4" i="2"/>
  <c r="S4" i="2" s="1"/>
  <c r="K12" i="2"/>
  <c r="R12" i="2"/>
  <c r="S12" i="2" s="1"/>
  <c r="Y198" i="1"/>
  <c r="J8" i="2" s="1"/>
  <c r="K8" i="2" s="1"/>
  <c r="J13" i="2"/>
  <c r="K13" i="2" s="1"/>
  <c r="Y201" i="1"/>
  <c r="R10" i="2"/>
  <c r="S10" i="2" s="1"/>
  <c r="P16" i="2"/>
  <c r="Q16" i="2"/>
  <c r="T16" i="2"/>
  <c r="U16" i="2" s="1"/>
  <c r="J14" i="2"/>
  <c r="X256" i="1"/>
  <c r="W221" i="1"/>
  <c r="Y221" i="1" s="1"/>
  <c r="W256" i="1"/>
  <c r="Y256" i="1" s="1"/>
  <c r="X221" i="1"/>
  <c r="X291" i="1"/>
  <c r="W291" i="1"/>
  <c r="Y291" i="1" s="1"/>
  <c r="W257" i="1"/>
  <c r="Y257" i="1" s="1"/>
  <c r="X259" i="1"/>
  <c r="X257" i="1"/>
  <c r="W258" i="1"/>
  <c r="Y258" i="1" s="1"/>
  <c r="W259" i="1"/>
  <c r="Y259" i="1" s="1"/>
  <c r="X258" i="1"/>
  <c r="X222" i="1"/>
  <c r="R11" i="2"/>
  <c r="S11" i="2" s="1"/>
  <c r="O22" i="2"/>
  <c r="B8" i="4" s="1"/>
  <c r="R15" i="2"/>
  <c r="S15" i="2" s="1"/>
  <c r="W226" i="1"/>
  <c r="Y226" i="1" s="1"/>
  <c r="W223" i="1"/>
  <c r="Y223" i="1" s="1"/>
  <c r="X223" i="1"/>
  <c r="X224" i="1"/>
  <c r="W224" i="1"/>
  <c r="Y224" i="1" s="1"/>
  <c r="X226" i="1"/>
  <c r="U13" i="2"/>
  <c r="R2" i="16"/>
  <c r="AT22" i="2" s="1"/>
  <c r="J19" i="2" s="1"/>
  <c r="K19" i="2" s="1"/>
  <c r="K7" i="2"/>
  <c r="R7" i="2"/>
  <c r="S7" i="2" s="1"/>
  <c r="R8" i="2" l="1"/>
  <c r="S8" i="2" s="1"/>
  <c r="Q22" i="2"/>
  <c r="P22" i="2"/>
  <c r="K14" i="2"/>
  <c r="R14" i="2"/>
  <c r="S14" i="2" s="1"/>
  <c r="J17" i="2"/>
  <c r="J16" i="2"/>
  <c r="B14" i="4"/>
  <c r="B20" i="4"/>
  <c r="B22" i="4" s="1"/>
  <c r="F9" i="4"/>
  <c r="F14" i="4" s="1"/>
  <c r="C8" i="4"/>
  <c r="D8" i="4"/>
  <c r="R13" i="2"/>
  <c r="S13" i="2" s="1"/>
  <c r="K16" i="2" l="1"/>
  <c r="R16" i="2"/>
  <c r="S16" i="2" s="1"/>
  <c r="K17" i="2"/>
  <c r="R17" i="2"/>
  <c r="S17" i="2" s="1"/>
  <c r="E8" i="4"/>
  <c r="D22" i="4"/>
  <c r="D9" i="4"/>
  <c r="C22" i="4"/>
  <c r="C9" i="4"/>
  <c r="U22" i="2"/>
  <c r="X22" i="2" s="1"/>
  <c r="W22" i="2" l="1"/>
  <c r="AB22" i="2" s="1"/>
  <c r="V22" i="2"/>
  <c r="AP22" i="2"/>
  <c r="J18" i="2" s="1"/>
  <c r="C14" i="4" l="1"/>
  <c r="D14" i="4" s="1"/>
  <c r="R18" i="2"/>
  <c r="S18" i="2" s="1"/>
  <c r="K18" i="2"/>
  <c r="AD22" i="2"/>
  <c r="AC22" i="2"/>
  <c r="Y22" i="2"/>
  <c r="AA22" i="2" l="1"/>
  <c r="Z22" i="2"/>
  <c r="AF22" i="2"/>
  <c r="AU22" i="2" l="1"/>
  <c r="AE22" i="2"/>
  <c r="R2" i="2"/>
  <c r="S2" i="2" s="1"/>
  <c r="H14" i="4" l="1"/>
  <c r="J20" i="2"/>
  <c r="R20" i="2" l="1"/>
  <c r="S20" i="2" s="1"/>
  <c r="S22" i="2" s="1"/>
  <c r="I14" i="4" s="1"/>
  <c r="K20" i="2"/>
  <c r="K21" i="2" s="1"/>
  <c r="AV22" i="2" l="1"/>
  <c r="F8" i="4"/>
  <c r="E14" i="4" s="1"/>
  <c r="G14" i="4" s="1"/>
  <c r="K22" i="2"/>
  <c r="K23" i="2" s="1"/>
  <c r="K24" i="2" s="1"/>
  <c r="K25" i="2" s="1"/>
  <c r="I8" i="4" l="1"/>
  <c r="J8" i="4" s="1"/>
  <c r="K8" i="4"/>
  <c r="G8" i="4"/>
  <c r="H8" i="4" s="1"/>
  <c r="B18" i="4"/>
  <c r="C23" i="4" s="1"/>
  <c r="J14" i="4"/>
  <c r="K14" i="4" s="1"/>
  <c r="D23" i="4" l="1"/>
  <c r="B23" i="4"/>
  <c r="I9" i="4"/>
  <c r="E22" i="4"/>
  <c r="E23" i="4" s="1"/>
  <c r="C20" i="4"/>
</calcChain>
</file>

<file path=xl/sharedStrings.xml><?xml version="1.0" encoding="utf-8"?>
<sst xmlns="http://schemas.openxmlformats.org/spreadsheetml/2006/main" count="3140" uniqueCount="914">
  <si>
    <t>S.R</t>
  </si>
  <si>
    <t>Item</t>
  </si>
  <si>
    <t>Size</t>
  </si>
  <si>
    <t>Capacity</t>
  </si>
  <si>
    <t>Supplier</t>
  </si>
  <si>
    <t>Brand</t>
  </si>
  <si>
    <t>Duplex Gear Pump</t>
  </si>
  <si>
    <t>10 GPM</t>
  </si>
  <si>
    <t>20 GPM</t>
  </si>
  <si>
    <t>30 GPM</t>
  </si>
  <si>
    <t>50 GPM</t>
  </si>
  <si>
    <t>100 GPM</t>
  </si>
  <si>
    <t>EWM</t>
  </si>
  <si>
    <t>VIKING</t>
  </si>
  <si>
    <t>-</t>
  </si>
  <si>
    <t>3/4 HP</t>
  </si>
  <si>
    <t>1 HP</t>
  </si>
  <si>
    <t>1.5 HP</t>
  </si>
  <si>
    <t>2 HP</t>
  </si>
  <si>
    <t>4 HP</t>
  </si>
  <si>
    <t>Franklin Fueling</t>
  </si>
  <si>
    <t>Single Submersible Pump</t>
  </si>
  <si>
    <t>MCC</t>
  </si>
  <si>
    <t>Ball Valve</t>
  </si>
  <si>
    <t>25mm</t>
  </si>
  <si>
    <t>32mm</t>
  </si>
  <si>
    <t>40mm</t>
  </si>
  <si>
    <t>50mm</t>
  </si>
  <si>
    <t>65mm</t>
  </si>
  <si>
    <t>80mm</t>
  </si>
  <si>
    <t>NIBCO</t>
  </si>
  <si>
    <t>Al Quraishi</t>
  </si>
  <si>
    <t>GALA</t>
  </si>
  <si>
    <t>Check Valve</t>
  </si>
  <si>
    <t>Emergency Shutoff Valve</t>
  </si>
  <si>
    <t>OPW</t>
  </si>
  <si>
    <t>Delta Plus</t>
  </si>
  <si>
    <t>SFFECO</t>
  </si>
  <si>
    <t>IPU</t>
  </si>
  <si>
    <t>Al Fanar</t>
  </si>
  <si>
    <t>WIKA</t>
  </si>
  <si>
    <t>Morison</t>
  </si>
  <si>
    <t>OPW Spill Container 5 Gallon</t>
  </si>
  <si>
    <t>Overfill Alarm Unit</t>
  </si>
  <si>
    <t>2"</t>
  </si>
  <si>
    <t>3"</t>
  </si>
  <si>
    <t>1 1/2"</t>
  </si>
  <si>
    <t>4"</t>
  </si>
  <si>
    <t>Inpro</t>
  </si>
  <si>
    <t>Local Supplier / Overseas</t>
  </si>
  <si>
    <t>Local</t>
  </si>
  <si>
    <t>IMCO</t>
  </si>
  <si>
    <t>NKK</t>
  </si>
  <si>
    <t>BS Sch.40 Seamless 1 meter</t>
  </si>
  <si>
    <t>Recent</t>
  </si>
  <si>
    <t>Al-Zughaibi</t>
  </si>
  <si>
    <t>Vector</t>
  </si>
  <si>
    <t>Foot Valve</t>
  </si>
  <si>
    <t>Rawabi Al Mahfar</t>
  </si>
  <si>
    <t>ITAP</t>
  </si>
  <si>
    <t>EUROPA</t>
  </si>
  <si>
    <t>Solenoid Valve</t>
  </si>
  <si>
    <t>Parker</t>
  </si>
  <si>
    <t>Y Strainer</t>
  </si>
  <si>
    <t>Oil Leak Detection Sensor</t>
  </si>
  <si>
    <t>1000 L</t>
  </si>
  <si>
    <t>1250 L</t>
  </si>
  <si>
    <t>1500 L</t>
  </si>
  <si>
    <t>1750 L</t>
  </si>
  <si>
    <t>2000 L</t>
  </si>
  <si>
    <t>2500 L</t>
  </si>
  <si>
    <t>3000 L</t>
  </si>
  <si>
    <t>3500 L</t>
  </si>
  <si>
    <t>4000 L</t>
  </si>
  <si>
    <t>4500 L</t>
  </si>
  <si>
    <t>10000 L</t>
  </si>
  <si>
    <t>12500 L</t>
  </si>
  <si>
    <t>15000 L</t>
  </si>
  <si>
    <t>17500 L</t>
  </si>
  <si>
    <t>20000 L</t>
  </si>
  <si>
    <t>25000 L</t>
  </si>
  <si>
    <t>30000 L</t>
  </si>
  <si>
    <t>35000 L</t>
  </si>
  <si>
    <t>40000 L</t>
  </si>
  <si>
    <t>45000 L</t>
  </si>
  <si>
    <t>50000 L</t>
  </si>
  <si>
    <t>55000 L</t>
  </si>
  <si>
    <t>60000 L</t>
  </si>
  <si>
    <t>Tank Capacity Options</t>
  </si>
  <si>
    <t>Day Tank</t>
  </si>
  <si>
    <t>Flexible Hose</t>
  </si>
  <si>
    <t>Storage Tank</t>
  </si>
  <si>
    <t>5 GPM</t>
  </si>
  <si>
    <t>40 GPM</t>
  </si>
  <si>
    <t>1/2 HP</t>
  </si>
  <si>
    <t>Valve Sizes</t>
  </si>
  <si>
    <t>32 mm</t>
  </si>
  <si>
    <t>25 mm</t>
  </si>
  <si>
    <t>40 mm</t>
  </si>
  <si>
    <t>50 mm</t>
  </si>
  <si>
    <t>65 mm</t>
  </si>
  <si>
    <t>80 mm</t>
  </si>
  <si>
    <t>Al Ayash</t>
  </si>
  <si>
    <t>Amiantit</t>
  </si>
  <si>
    <t>2000 USG</t>
  </si>
  <si>
    <t>3000 USG</t>
  </si>
  <si>
    <t>4000 USG</t>
  </si>
  <si>
    <t>6000 USG</t>
  </si>
  <si>
    <t>8000 USG</t>
  </si>
  <si>
    <t>10000 USG</t>
  </si>
  <si>
    <t>12000 USG</t>
  </si>
  <si>
    <t>15000 USG</t>
  </si>
  <si>
    <t>20000 USG</t>
  </si>
  <si>
    <t>25000 USG</t>
  </si>
  <si>
    <t>30000 USG</t>
  </si>
  <si>
    <t>Overfill Alarm Unit Overfill Alarm Unit   Al Fanar</t>
  </si>
  <si>
    <t>Oil Leak Detection Sensor Oil Leak Detection Sensor   Inpro</t>
  </si>
  <si>
    <t>Vent Cap 2" (Day Tank)</t>
  </si>
  <si>
    <t>Markup</t>
  </si>
  <si>
    <t>Selling Price (SAR)</t>
  </si>
  <si>
    <t>Pipe Installation Additional Cost (Supports, Fittings, Waste, Misc.) 120%</t>
  </si>
  <si>
    <t>Supplier Price Date</t>
  </si>
  <si>
    <t>Master Control Panel</t>
  </si>
  <si>
    <t>BS Sch.80 Seamless 1 meter</t>
  </si>
  <si>
    <t>ITEM</t>
  </si>
  <si>
    <t>CAPACITY</t>
  </si>
  <si>
    <t>SIZE</t>
  </si>
  <si>
    <t>BRAND</t>
  </si>
  <si>
    <t>FRP Tank Engineering Support Cost (SAR) 2%</t>
  </si>
  <si>
    <t>Valves Installation Additional Cost (Flanges, Unions, Tags)</t>
  </si>
  <si>
    <t>Remarks</t>
  </si>
  <si>
    <t>4600 L</t>
  </si>
  <si>
    <t>ATG System</t>
  </si>
  <si>
    <t>Pneumercator</t>
  </si>
  <si>
    <t>Total Excluding VAT</t>
  </si>
  <si>
    <t>ITEM DESCRIPTION</t>
  </si>
  <si>
    <t>QTY</t>
  </si>
  <si>
    <t>Transportation Charges</t>
  </si>
  <si>
    <t>Installation, T&amp;C</t>
  </si>
  <si>
    <t>BS Sch. 40 Ceiling Installation Pipe</t>
  </si>
  <si>
    <t>BS Sch. 80 Ceiling Installation Pipe</t>
  </si>
  <si>
    <t>BS Sch. 40 Floor Installation Pipe</t>
  </si>
  <si>
    <t>BS Sch. 80 Floor Installation Pipe</t>
  </si>
  <si>
    <t>BS Sch. 40 Trench Installation Pipe</t>
  </si>
  <si>
    <t>BS Sch.40 Seamless 1 meter BS Sch. 40 Floor Installation Pipe  25 mm NKK</t>
  </si>
  <si>
    <t>BS Sch.40 Seamless 1 meter BS Sch. 40 Floor Installation Pipe  32 mm NKK</t>
  </si>
  <si>
    <t>BS Sch.40 Seamless 1 meter BS Sch. 40 Floor Installation Pipe  40 mm NKK</t>
  </si>
  <si>
    <t>BS Sch.40 Seamless 1 meter BS Sch. 40 Floor Installation Pipe  50 mm NKK</t>
  </si>
  <si>
    <t>BS Sch.40 Seamless 1 meter BS Sch. 40 Floor Installation Pipe  65 mm NKK</t>
  </si>
  <si>
    <t>BS Sch.40 Seamless 1 meter BS Sch. 40 Floor Installation Pipe  80 mm NKK</t>
  </si>
  <si>
    <t>Day Tank Rectangular SW Steel Above Ground UL 142</t>
  </si>
  <si>
    <t>Day Tank Rectangular DW Steel Above Ground UL 142</t>
  </si>
  <si>
    <t>Day Tank Cylindrical SW  Steel Above Ground UL 142</t>
  </si>
  <si>
    <t>Day Tank Cylindrical DW Steel Above Ground UL 142</t>
  </si>
  <si>
    <t>Day Tank Day Tank Rectangular SW Steel Above Ground UL 142 1000 L  Al Ayash</t>
  </si>
  <si>
    <t>Day Tank Day Tank Rectangular SW Steel Above Ground UL 142 1250 L  Al Ayash</t>
  </si>
  <si>
    <t>Day Tank Day Tank Rectangular SW Steel Above Ground UL 142 1500 L  Al Ayash</t>
  </si>
  <si>
    <t>Day Tank Day Tank Rectangular SW Steel Above Ground UL 142 2000 L  Al Ayash</t>
  </si>
  <si>
    <t>Day Tank Day Tank Rectangular SW Steel Above Ground UL 142 2500 L  Al Ayash</t>
  </si>
  <si>
    <t>Day Tank Day Tank Rectangular SW Steel Above Ground UL 142 3000 L  Al Ayash</t>
  </si>
  <si>
    <t>Day Tank Day Tank Rectangular SW Steel Above Ground UL 142 3500 L  Al Ayash</t>
  </si>
  <si>
    <t>Day Tank Day Tank Rectangular SW Steel Above Ground UL 142 4000 L  Al Ayash</t>
  </si>
  <si>
    <t>Day Tank Day Tank Rectangular SW Steel Above Ground UL 142 4500 L  Al Ayash</t>
  </si>
  <si>
    <t>Day Tank Day Tank Rectangular DW Steel Above Ground UL 142 1000 L  Al Ayash</t>
  </si>
  <si>
    <t>Day Tank Day Tank Rectangular DW Steel Above Ground UL 142 1250 L  Al Ayash</t>
  </si>
  <si>
    <t>Day Tank Day Tank Rectangular DW Steel Above Ground UL 142 1500 L  Al Ayash</t>
  </si>
  <si>
    <t>Day Tank Day Tank Rectangular DW Steel Above Ground UL 142 1750 L  Al Ayash</t>
  </si>
  <si>
    <t>Day Tank Day Tank Rectangular DW Steel Above Ground UL 142 2000 L  Al Ayash</t>
  </si>
  <si>
    <t>Day Tank Day Tank Rectangular DW Steel Above Ground UL 142 2500 L  Al Ayash</t>
  </si>
  <si>
    <t>Day Tank Day Tank Rectangular DW Steel Above Ground UL 142 3000 L  Al Ayash</t>
  </si>
  <si>
    <t>Day Tank Day Tank Rectangular DW Steel Above Ground UL 142 3500 L  Al Ayash</t>
  </si>
  <si>
    <t>Day Tank Day Tank Rectangular DW Steel Above Ground UL 142 4000 L  Al Ayash</t>
  </si>
  <si>
    <t>Day Tank Day Tank Rectangular DW Steel Above Ground UL 142 4500 L  Al Ayash</t>
  </si>
  <si>
    <t>Day Tank Day Tank Cylindrical SW  Steel Above Ground UL 142 1000 L  Al Ayash</t>
  </si>
  <si>
    <t>Day Tank Day Tank Cylindrical SW  Steel Above Ground UL 142 1250 L  Al Ayash</t>
  </si>
  <si>
    <t>Day Tank Day Tank Cylindrical SW  Steel Above Ground UL 142 1500 L  Al Ayash</t>
  </si>
  <si>
    <t>Day Tank Day Tank Cylindrical SW  Steel Above Ground UL 142 1750 L  Al Ayash</t>
  </si>
  <si>
    <t>Day Tank Day Tank Cylindrical SW  Steel Above Ground UL 142 2000 L  Al Ayash</t>
  </si>
  <si>
    <t>Day Tank Day Tank Cylindrical SW  Steel Above Ground UL 142 2500 L  Al Ayash</t>
  </si>
  <si>
    <t>Day Tank Day Tank Cylindrical SW  Steel Above Ground UL 142 3000 L  Al Ayash</t>
  </si>
  <si>
    <t>Day Tank Day Tank Cylindrical SW  Steel Above Ground UL 142 3500 L  Al Ayash</t>
  </si>
  <si>
    <t>Day Tank Day Tank Cylindrical SW  Steel Above Ground UL 142 4000 L  Al Ayash</t>
  </si>
  <si>
    <t>Day Tank Day Tank Cylindrical SW  Steel Above Ground UL 142 4500 L  Al Ayash</t>
  </si>
  <si>
    <t>Day Tank Day Tank Cylindrical DW Steel Above Ground UL 142 1000 L  Al Ayash</t>
  </si>
  <si>
    <t>Day Tank Day Tank Cylindrical DW Steel Above Ground UL 142 1250 L  Al Ayash</t>
  </si>
  <si>
    <t>Day Tank Day Tank Cylindrical DW Steel Above Ground UL 142 1500 L  Al Ayash</t>
  </si>
  <si>
    <t>Day Tank Day Tank Cylindrical DW Steel Above Ground UL 142 1750 L  Al Ayash</t>
  </si>
  <si>
    <t>Day Tank Day Tank Cylindrical DW Steel Above Ground UL 142 2000 L  Al Ayash</t>
  </si>
  <si>
    <t>Day Tank Day Tank Cylindrical DW Steel Above Ground UL 142 2500 L  Al Ayash</t>
  </si>
  <si>
    <t>Day Tank Day Tank Cylindrical DW Steel Above Ground UL 142 3000 L  Al Ayash</t>
  </si>
  <si>
    <t>Day Tank Day Tank Cylindrical DW Steel Above Ground UL 142 3500 L  Al Ayash</t>
  </si>
  <si>
    <t>Day Tank Day Tank Cylindrical DW Steel Above Ground UL 142 4000 L  Al Ayash</t>
  </si>
  <si>
    <t>Day Tank Day Tank Cylindrical DW Steel Above Ground UL 142 4500 L  Al Ayash</t>
  </si>
  <si>
    <t>Storage Tank Storage Tank Cylindrical DW Steel Underground UL58 10000 L  Al Ayash</t>
  </si>
  <si>
    <t>Storage Tank Storage Tank Cylindrical DW Steel Underground UL58 12500 L  Al Ayash</t>
  </si>
  <si>
    <t>Storage Tank Storage Tank Cylindrical DW Steel Underground UL58 15000 L  Al Ayash</t>
  </si>
  <si>
    <t>Storage Tank Storage Tank Cylindrical DW Steel Underground UL58 17500 L  Al Ayash</t>
  </si>
  <si>
    <t>Storage Tank Storage Tank Cylindrical DW Steel Underground UL58 20000 L  Al Ayash</t>
  </si>
  <si>
    <t>Storage Tank Storage Tank Cylindrical DW Steel Underground UL58 25000 L  Al Ayash</t>
  </si>
  <si>
    <t>Storage Tank Storage Tank Cylindrical DW Steel Underground UL58 30000 L  Al Ayash</t>
  </si>
  <si>
    <t>Storage Tank Storage Tank Cylindrical DW Steel Underground UL58 35000 L  Al Ayash</t>
  </si>
  <si>
    <t>Storage Tank Storage Tank Cylindrical DW Steel Underground UL58 40000 L  Al Ayash</t>
  </si>
  <si>
    <t>Storage Tank Storage Tank Cylindrical DW Steel Underground UL58 45000 L  Al Ayash</t>
  </si>
  <si>
    <t>Storage Tank Storage Tank Cylindrical DW Steel Underground UL58 50000 L  Al Ayash</t>
  </si>
  <si>
    <t>Storage Tank Storage Tank Cylindrical DW Steel Underground UL58 55000 L  Al Ayash</t>
  </si>
  <si>
    <t>Storage Tank Storage Tank Cylindrical DW Steel Underground UL58 60000 L  Al Ayash</t>
  </si>
  <si>
    <t>Storage Tank Storage Tank Cylindrical DW Steel Above Ground UL 142 2500 L  Al Ayash</t>
  </si>
  <si>
    <t>Storage Tank Storage Tank Cylindrical DW Steel Above Ground UL 142 10000 L  Al Ayash</t>
  </si>
  <si>
    <t>Storage Tank Storage Tank Cylindrical DW Steel Above Ground UL 142 12500 L  Al Ayash</t>
  </si>
  <si>
    <t>Storage Tank Storage Tank Cylindrical DW Steel Above Ground UL 142 15000 L  Al Ayash</t>
  </si>
  <si>
    <t>Storage Tank Rect. DW Steel Above Ground UL 142</t>
  </si>
  <si>
    <t>Storage Tank Cylindrical DW Steel Underground UL58</t>
  </si>
  <si>
    <t>Storage Tank Cylindrical DW Steel Above Ground UL 142</t>
  </si>
  <si>
    <t>Storage Tank Rect. SW Steel Above Ground UL 142</t>
  </si>
  <si>
    <t>Storage Tank Cylindrical SW Steel Above Ground UL 142</t>
  </si>
  <si>
    <t>Storage Tank Cylindrical DW FRP Underground UL Listed</t>
  </si>
  <si>
    <t>Storage Tank Cylindrical DW FRP  Above Ground UL Listed</t>
  </si>
  <si>
    <t>Storage Tank Cylindrical SW FRP Underground UL Listed</t>
  </si>
  <si>
    <t>Storage Tank Cylindrical SW FRP  Above Ground UL Listed</t>
  </si>
  <si>
    <t>Storage Tank Storage Tank Cylindrical DW Steel Above Ground UL 142 20000 L  Al Ayash</t>
  </si>
  <si>
    <t>Storage Tank Storage Tank Cylindrical DW Steel Above Ground UL 142 25000 L  Al Ayash</t>
  </si>
  <si>
    <t>Storage Tank Storage Tank Cylindrical DW Steel Above Ground UL 142 35000 L  Al Ayash</t>
  </si>
  <si>
    <t>Storage Tank Storage Tank Cylindrical DW Steel Above Ground UL 142 40000 L  Al Ayash</t>
  </si>
  <si>
    <t>Storage Tank Storage Tank Cylindrical DW Steel Above Ground UL 142 45000 L  Al Ayash</t>
  </si>
  <si>
    <t>Storage Tank Storage Tank Rect. DW Steel Above Ground UL 142 10000 L  Al Ayash</t>
  </si>
  <si>
    <t>Storage Tank Storage Tank Rect. DW Steel Above Ground UL 142 12500 L  Al Ayash</t>
  </si>
  <si>
    <t>Storage Tank Storage Tank Rect. DW Steel Above Ground UL 142 15000 L  Al Ayash</t>
  </si>
  <si>
    <t>Storage Tank Storage Tank Rect. DW Steel Above Ground UL 142 17500 L  Al Ayash</t>
  </si>
  <si>
    <t>Storage Tank Storage Tank Rect. DW Steel Above Ground UL 142 20000 L  Al Ayash</t>
  </si>
  <si>
    <t>Storage Tank Storage Tank Rect. DW Steel Above Ground UL 142 25000 L  Al Ayash</t>
  </si>
  <si>
    <t>Storage Tank Storage Tank Rect. DW Steel Above Ground UL 142 30000 L  Al Ayash</t>
  </si>
  <si>
    <t>Storage Tank Storage Tank Rect. DW Steel Above Ground UL 142 35000 L  Al Ayash</t>
  </si>
  <si>
    <t>Storage Tank Storage Tank Rect. DW Steel Above Ground UL 142 40000 L  Al Ayash</t>
  </si>
  <si>
    <t>Storage Tank Storage Tank Rect. DW Steel Above Ground UL 142 45000 L  Al Ayash</t>
  </si>
  <si>
    <t>Storage Tank Storage Tank Rect. DW Steel Above Ground UL 142 50000 L  Al Ayash</t>
  </si>
  <si>
    <t>Storage Tank Storage Tank Rect. DW Steel Above Ground UL 142 55000 L  Al Ayash</t>
  </si>
  <si>
    <t>Storage Tank Storage Tank Rect. DW Steel Above Ground UL 142 60000 L  Al Ayash</t>
  </si>
  <si>
    <t>Storage Tank Storage Tank Cylindrical SW Steel Above Ground UL 142 10000 L  Al Ayash</t>
  </si>
  <si>
    <t>Storage Tank Storage Tank Cylindrical SW Steel Above Ground UL 142 12500 L  Al Ayash</t>
  </si>
  <si>
    <t>Storage Tank Storage Tank Cylindrical SW Steel Above Ground UL 142 15000 L  Al Ayash</t>
  </si>
  <si>
    <t>Storage Tank Storage Tank Cylindrical SW Steel Above Ground UL 142 17500 L  Al Ayash</t>
  </si>
  <si>
    <t>Storage Tank Storage Tank Cylindrical SW Steel Above Ground UL 142 20000 L  Al Ayash</t>
  </si>
  <si>
    <t>Storage Tank Storage Tank Cylindrical SW Steel Above Ground UL 142 25000 L  Al Ayash</t>
  </si>
  <si>
    <t>Storage Tank Storage Tank Cylindrical SW Steel Above Ground UL 142 30000 L  Al Ayash</t>
  </si>
  <si>
    <t>Storage Tank Storage Tank Cylindrical SW Steel Above Ground UL 142 35000 L  Al Ayash</t>
  </si>
  <si>
    <t>Storage Tank Storage Tank Cylindrical SW Steel Above Ground UL 142 40000 L  Al Ayash</t>
  </si>
  <si>
    <t>Storage Tank Storage Tank Cylindrical SW Steel Above Ground UL 142 45000 L  Al Ayash</t>
  </si>
  <si>
    <t>Storage Tank Storage Tank Cylindrical SW Steel Above Ground UL 142 50000 L  Al Ayash</t>
  </si>
  <si>
    <t>Storage Tank Storage Tank Cylindrical SW Steel Above Ground UL 142 55000 L  Al Ayash</t>
  </si>
  <si>
    <t>Storage Tank Storage Tank Cylindrical SW Steel Above Ground UL 142 60000 L  Al Ayash</t>
  </si>
  <si>
    <t>Day Tank Day Tank Rectangular DW Steel Above Ground UL 142 4600 L  Al Ayash</t>
  </si>
  <si>
    <t>Day Tank Day Tank Rectangular SW Steel Above Ground UL 142 With Rupture Basin 2500 L  Al Ayash</t>
  </si>
  <si>
    <t>Storage Tank Storage Tank Cylindrical DW FRP Underground UL Listed 2000 USG  Amiantit</t>
  </si>
  <si>
    <t>Storage Tank Storage Tank Cylindrical DW FRP Underground UL Listed 3000 USG  Amiantit</t>
  </si>
  <si>
    <t>Storage Tank Storage Tank Cylindrical DW FRP Underground UL Listed 4000 USG  Amiantit</t>
  </si>
  <si>
    <t>Storage Tank Storage Tank Cylindrical DW FRP Underground UL Listed 6000 USG  Amiantit</t>
  </si>
  <si>
    <t>Storage Tank Storage Tank Cylindrical DW FRP Underground UL Listed 8000 USG  Amiantit</t>
  </si>
  <si>
    <t>Storage Tank Storage Tank Cylindrical DW FRP Underground UL Listed 10000 USG  Amiantit</t>
  </si>
  <si>
    <t>Storage Tank Storage Tank Cylindrical DW FRP Underground UL Listed 12000 USG  Amiantit</t>
  </si>
  <si>
    <t>Storage Tank Storage Tank Cylindrical DW FRP Underground UL Listed 15000 USG  Amiantit</t>
  </si>
  <si>
    <t>Storage Tank Storage Tank Cylindrical DW FRP Underground UL Listed 20000 USG  Amiantit</t>
  </si>
  <si>
    <t>Storage Tank Storage Tank Cylindrical DW FRP Underground UL Listed 25000 USG  Amiantit</t>
  </si>
  <si>
    <t>Storage Tank Storage Tank Cylindrical DW FRP Underground UL Listed 30000 USG  Amiantit</t>
  </si>
  <si>
    <t>Storage Tank Storage Tank Cylindrical DW FRP  Above Ground UL Listed 2000 USG  Amiantit</t>
  </si>
  <si>
    <t>Storage Tank Storage Tank Cylindrical DW FRP  Above Ground UL Listed 3000 USG  Amiantit</t>
  </si>
  <si>
    <t>Storage Tank Storage Tank Cylindrical DW FRP  Above Ground UL Listed 4000 USG  Amiantit</t>
  </si>
  <si>
    <t>Storage Tank Storage Tank Cylindrical DW FRP  Above Ground UL Listed 6000 USG  Amiantit</t>
  </si>
  <si>
    <t>Storage Tank Storage Tank Cylindrical DW FRP  Above Ground UL Listed 8000 USG  Amiantit</t>
  </si>
  <si>
    <t>Storage Tank Storage Tank Cylindrical DW FRP  Above Ground UL Listed 10000 USG  Amiantit</t>
  </si>
  <si>
    <t>Storage Tank Storage Tank Cylindrical DW FRP  Above Ground UL Listed 12000 USG  Amiantit</t>
  </si>
  <si>
    <t>Storage Tank Storage Tank Cylindrical DW FRP  Above Ground UL Listed 15000 USG  Amiantit</t>
  </si>
  <si>
    <t>Storage Tank Storage Tank Cylindrical DW FRP  Above Ground UL Listed 20000 USG  Amiantit</t>
  </si>
  <si>
    <t>Storage Tank Storage Tank Cylindrical DW FRP  Above Ground UL Listed 25000 USG  Amiantit</t>
  </si>
  <si>
    <t>Storage Tank Storage Tank Cylindrical DW FRP  Above Ground UL Listed 30000 USG  Amiantit</t>
  </si>
  <si>
    <t>Storage Tank Storage Tank Cylindrical SW FRP  Above Ground UL Listed 2000 USG  Amiantit</t>
  </si>
  <si>
    <t>Storage Tank Storage Tank Cylindrical SW FRP  Above Ground UL Listed 3000 USG  Amiantit</t>
  </si>
  <si>
    <t>Storage Tank Storage Tank Cylindrical SW FRP  Above Ground UL Listed 4000 USG  Amiantit</t>
  </si>
  <si>
    <t>Storage Tank Storage Tank Cylindrical SW FRP  Above Ground UL Listed 6000 USG  Amiantit</t>
  </si>
  <si>
    <t>Storage Tank Storage Tank Cylindrical SW FRP  Above Ground UL Listed 8000 USG  Amiantit</t>
  </si>
  <si>
    <t>Storage Tank Storage Tank Cylindrical SW FRP  Above Ground UL Listed 10000 USG  Amiantit</t>
  </si>
  <si>
    <t>Storage Tank Storage Tank Cylindrical SW FRP  Above Ground UL Listed 12000 USG  Amiantit</t>
  </si>
  <si>
    <t>Storage Tank Storage Tank Cylindrical SW FRP  Above Ground UL Listed 15000 USG  Amiantit</t>
  </si>
  <si>
    <t>Storage Tank Storage Tank Cylindrical SW FRP  Above Ground UL Listed 20000 USG  Amiantit</t>
  </si>
  <si>
    <t>Storage Tank Storage Tank Cylindrical SW FRP  Above Ground UL Listed 25000 USG  Amiantit</t>
  </si>
  <si>
    <t>Storage Tank Storage Tank Cylindrical SW FRP  Above Ground UL Listed 30000 USG  Amiantit</t>
  </si>
  <si>
    <t>Duplex Strainer</t>
  </si>
  <si>
    <t>Hydroflex</t>
  </si>
  <si>
    <t>United Electric</t>
  </si>
  <si>
    <t>Geonex</t>
  </si>
  <si>
    <t>Magnatrol</t>
  </si>
  <si>
    <t>Storage Tank Storage Tank Cylindrical DW Steel Underground UL58 1250 L  Al Ayash</t>
  </si>
  <si>
    <t>Storage Tank Storage Tank Cylindrical DW Steel Underground UL58 2750 L  Al Ayash</t>
  </si>
  <si>
    <t>Storage Tank Storage Tank Cylindrical DW Steel Underground UL58 3750 L  Al Ayash</t>
  </si>
  <si>
    <t>Storage Tank Storage Tank Cylindrical DW Steel Underground UL58 6000 L  Al Ayash</t>
  </si>
  <si>
    <t>Storage Tank Storage Tank Cylindrical DW Steel Underground UL58 8750 L  Al Ayash</t>
  </si>
  <si>
    <t>Storage Tank Storage Tank Cylindrical DW Steel Underground UL58 11250 L  Al Ayash</t>
  </si>
  <si>
    <t>2750 L</t>
  </si>
  <si>
    <t>3750 L</t>
  </si>
  <si>
    <t>6000 L</t>
  </si>
  <si>
    <t>8750 L</t>
  </si>
  <si>
    <t>11250 L</t>
  </si>
  <si>
    <t>Storage Tank Storage Tank Rect. DW Steel Above Ground UL 142 27000 L  Al Ayash</t>
  </si>
  <si>
    <t>27000 l</t>
  </si>
  <si>
    <t>27000 L</t>
  </si>
  <si>
    <t>Items</t>
  </si>
  <si>
    <t>Differential Pressure Switch for duplex strainer</t>
  </si>
  <si>
    <t>Brands</t>
  </si>
  <si>
    <t>Full Description</t>
  </si>
  <si>
    <t>Material Selling Price</t>
  </si>
  <si>
    <t>Material Total Selling Price</t>
  </si>
  <si>
    <t>Total</t>
  </si>
  <si>
    <t>Electrical Price</t>
  </si>
  <si>
    <t>Total Manhour</t>
  </si>
  <si>
    <t>Manhour</t>
  </si>
  <si>
    <t>BS Sch.80 Seamless 1 meter BS Sch. 80 Floor Installation Pipe  25 mm NKK</t>
  </si>
  <si>
    <t>BS Sch.80 Seamless 1 meter BS Sch. 80 Floor Installation Pipe  32 mm NKK</t>
  </si>
  <si>
    <t>BS Sch.80 Seamless 1 meter BS Sch. 80 Floor Installation Pipe  40 mm NKK</t>
  </si>
  <si>
    <t>BS Sch.80 Seamless 1 meter BS Sch. 80 Floor Installation Pipe  50 mm NKK</t>
  </si>
  <si>
    <t>BS Sch.80 Seamless 1 meter BS Sch. 80 Floor Installation Pipe  65 mm NKK</t>
  </si>
  <si>
    <t>BS Sch.80 Seamless 1 meter BS Sch. 80 Floor Installation Pipe  80 mm NKK</t>
  </si>
  <si>
    <t>BS Sch. 80 Trench Installation Pipe</t>
  </si>
  <si>
    <t>Unit Manhour</t>
  </si>
  <si>
    <t>Master Control Panel - Size A</t>
  </si>
  <si>
    <t>Master Control Panel - Size B</t>
  </si>
  <si>
    <t>Master Control Panel - Size C</t>
  </si>
  <si>
    <t>Master Control Panel - Size D</t>
  </si>
  <si>
    <t>Master Control Panel Master Control Panel - Size A   Al Fanar</t>
  </si>
  <si>
    <t>Master Control Panel Master Control Panel - Size B   Al Fanar</t>
  </si>
  <si>
    <t>Master Control Panel Master Control Panel - Size C   Al Fanar</t>
  </si>
  <si>
    <t>Master Control Panel Master Control Panel - Size D   Al Fanar</t>
  </si>
  <si>
    <t>S.N</t>
  </si>
  <si>
    <t>Generator Capacity</t>
  </si>
  <si>
    <t>Main Line</t>
  </si>
  <si>
    <t>Tank Sizing</t>
  </si>
  <si>
    <t>Fuel System Calculation and Sizing</t>
  </si>
  <si>
    <t>Generator KW</t>
  </si>
  <si>
    <t>Generator Qty</t>
  </si>
  <si>
    <t>Operation Hours per Day</t>
  </si>
  <si>
    <t>Storage Days</t>
  </si>
  <si>
    <t>Generator Fuel Consumption</t>
  </si>
  <si>
    <t>Day Tank Inlet</t>
  </si>
  <si>
    <t>Pump Flow Rate</t>
  </si>
  <si>
    <t>KVA</t>
  </si>
  <si>
    <t>KW</t>
  </si>
  <si>
    <t>Nos</t>
  </si>
  <si>
    <t>Hours</t>
  </si>
  <si>
    <t>Days</t>
  </si>
  <si>
    <t>GPM</t>
  </si>
  <si>
    <t>Unit</t>
  </si>
  <si>
    <t>Storage Tank Capacity</t>
  </si>
  <si>
    <t>Liter</t>
  </si>
  <si>
    <t>USG</t>
  </si>
  <si>
    <t>Input Data</t>
  </si>
  <si>
    <t>Output Data</t>
  </si>
  <si>
    <t>mm</t>
  </si>
  <si>
    <t>Flowrate Data</t>
  </si>
  <si>
    <t>Pipe Sizing</t>
  </si>
  <si>
    <t>Generator and Operation Hours/Days Data</t>
  </si>
  <si>
    <t>Day Tank Qty</t>
  </si>
  <si>
    <t>Day Tank Capacity
(Accurate)</t>
  </si>
  <si>
    <t>Storage Tank Capacity
(Steel)</t>
  </si>
  <si>
    <t>Selected Day Tank Capacity
(Steel)</t>
  </si>
  <si>
    <t>Storage Tank Capacity
(GRP)</t>
  </si>
  <si>
    <t>Generator Inlet</t>
  </si>
  <si>
    <r>
      <rPr>
        <b/>
        <sz val="9"/>
        <color rgb="FFFF0000"/>
        <rFont val="Calibri"/>
        <family val="2"/>
        <scheme val="minor"/>
      </rPr>
      <t>This table considers the below conditions:</t>
    </r>
    <r>
      <rPr>
        <sz val="9"/>
        <color rgb="FFFF0000"/>
        <rFont val="Calibri"/>
        <family val="2"/>
        <scheme val="minor"/>
      </rPr>
      <t xml:space="preserve">
1 Pump Set
1 Storage Tank
Multiple Day Tanks (Up to 12 Nos)</t>
    </r>
  </si>
  <si>
    <t>Pump Flow Rate for each Genset (Total for 1 row)</t>
  </si>
  <si>
    <t>Day Tank Inlet Flow Rate per Generator (Qty 1 Nos)</t>
  </si>
  <si>
    <t>Storage Tank Storage Tank Cylindrical DW Steel Above Ground UL 142 100000 L  Al Ayash</t>
  </si>
  <si>
    <t>100000 L</t>
  </si>
  <si>
    <t>Float Switch</t>
  </si>
  <si>
    <t>Leak Detector</t>
  </si>
  <si>
    <t>Level Probe</t>
  </si>
  <si>
    <t>Filtration System</t>
  </si>
  <si>
    <t xml:space="preserve">Installation, T&amp;C Installation, T&amp;C   </t>
  </si>
  <si>
    <t>Transporation Charges To Riyadh</t>
  </si>
  <si>
    <t>Transportation Outside Riyadh</t>
  </si>
  <si>
    <t>Electrical Material</t>
  </si>
  <si>
    <t>Lot</t>
  </si>
  <si>
    <t xml:space="preserve">Transportation Charges Transportation Outside Riyadh   </t>
  </si>
  <si>
    <t>Transportation Cost</t>
  </si>
  <si>
    <t>Transportation Price</t>
  </si>
  <si>
    <t>Total Cost</t>
  </si>
  <si>
    <t>Total Selling Price</t>
  </si>
  <si>
    <t xml:space="preserve">Electrical Material Electrical Material   </t>
  </si>
  <si>
    <t>Bosch</t>
  </si>
  <si>
    <t>Magnetic Float Switch (Storage Tank)</t>
  </si>
  <si>
    <t>Magnetic Float Switch (Day Tank)</t>
  </si>
  <si>
    <t>Cathodic Protection</t>
  </si>
  <si>
    <t>Cathodic Protection - Up to 1250 L</t>
  </si>
  <si>
    <t>Cathodic Protection - Up to 3750 L</t>
  </si>
  <si>
    <t>Cathodic Protection - Up to 6000 L</t>
  </si>
  <si>
    <t>Cathodic Protection - Up to 8750 L</t>
  </si>
  <si>
    <t>Cathodic Protection - Up to 11250 L</t>
  </si>
  <si>
    <t>Cathodic Protection - Up to 25000 L</t>
  </si>
  <si>
    <t xml:space="preserve">Cathodic Protection Cathodic Protection - Up to 1250 L   </t>
  </si>
  <si>
    <t>Sogec</t>
  </si>
  <si>
    <t xml:space="preserve">Cathodic Protection Cathodic Protection - Up to 3750 L   </t>
  </si>
  <si>
    <t xml:space="preserve">Cathodic Protection Cathodic Protection - Up to 6000 L   </t>
  </si>
  <si>
    <t xml:space="preserve">Cathodic Protection Cathodic Protection - Up to 8750 L   </t>
  </si>
  <si>
    <t xml:space="preserve">Cathodic Protection Cathodic Protection - Up to 11250 L   </t>
  </si>
  <si>
    <t xml:space="preserve">Cathodic Protection Cathodic Protection - Up to 25000 L   </t>
  </si>
  <si>
    <t>Cores</t>
  </si>
  <si>
    <t>Electrical Items</t>
  </si>
  <si>
    <t>Number of cores</t>
  </si>
  <si>
    <t>Boxes (1 Box each 10m)</t>
  </si>
  <si>
    <t>ATG Console</t>
  </si>
  <si>
    <t>Remote Annuciator</t>
  </si>
  <si>
    <t>Box Price 
(SAR / Piece)</t>
  </si>
  <si>
    <t>Solenoid Valve Parker</t>
  </si>
  <si>
    <t>Solenoid Valve Magnatrol</t>
  </si>
  <si>
    <t>Cable Size (mm2)</t>
  </si>
  <si>
    <t>mm2</t>
  </si>
  <si>
    <t>Level Probe EDM-40 (Day Tank)</t>
  </si>
  <si>
    <t>Level Probe EDM-40 (Storage Tank)</t>
  </si>
  <si>
    <t>Oil Leak Detection Sensor (Day Tank)</t>
  </si>
  <si>
    <t>Oil Leak Detection Sensor (Storage Tank)</t>
  </si>
  <si>
    <t>Overfill Alarm Unit (Storage Tank)</t>
  </si>
  <si>
    <t>Between Storage Tank and Control Panel</t>
  </si>
  <si>
    <t>Between Day tank and Control Panel</t>
  </si>
  <si>
    <t>Type</t>
  </si>
  <si>
    <t>Power</t>
  </si>
  <si>
    <t>Signal</t>
  </si>
  <si>
    <t>Cable Type</t>
  </si>
  <si>
    <t>Between Filling Point and Control Panel</t>
  </si>
  <si>
    <t>Qty</t>
  </si>
  <si>
    <t>Distance (m)</t>
  </si>
  <si>
    <t>Total Price</t>
  </si>
  <si>
    <t>Total Cross Section (mm2)</t>
  </si>
  <si>
    <t>RGS Conduit Price 
(SAR / meter)</t>
  </si>
  <si>
    <t>Level Probe with Digital Display</t>
  </si>
  <si>
    <t>Location</t>
  </si>
  <si>
    <t>Remote Area</t>
  </si>
  <si>
    <t>Flow Switch</t>
  </si>
  <si>
    <t>Crest Solutions</t>
  </si>
  <si>
    <t>90000 L</t>
  </si>
  <si>
    <t>Storage Tank Storage Tank Cylindrical DW Steel Above Ground UL 142 90000 L  Al Ayash</t>
  </si>
  <si>
    <t>Total Number of Cores</t>
  </si>
  <si>
    <t>Camlock with Ball Valve</t>
  </si>
  <si>
    <t>Storage Tank Storage Tank Cylindrical DW Steel Underground UL58 8000 L  Al Ayash</t>
  </si>
  <si>
    <t>8000 L</t>
  </si>
  <si>
    <t>Storage Tank Storage Tank Cylindrical SW Steel Above Ground UL 142 2500 L  Al Ayash</t>
  </si>
  <si>
    <t>Quadruplex Gear Pump (2D+2S)</t>
  </si>
  <si>
    <t>Viking</t>
  </si>
  <si>
    <t>Storage Tank Storage Tank Cylindrical SW Steel Above Ground UL 142 1250 L  Al Ayash</t>
  </si>
  <si>
    <t>Day Tank Day Tank Cylindrical DW Steel Above Ground UL 142 6000 L  Al Ayash</t>
  </si>
  <si>
    <t>Risk (5%)</t>
  </si>
  <si>
    <t>Total Dry Cost (SAR)</t>
  </si>
  <si>
    <t>Net Profit (SAR)</t>
  </si>
  <si>
    <t>Material Unit Dry Cost</t>
  </si>
  <si>
    <t>Electrical Dry Cost</t>
  </si>
  <si>
    <t>Electrical Profit</t>
  </si>
  <si>
    <t>COST</t>
  </si>
  <si>
    <t>LM</t>
  </si>
  <si>
    <t>Fill Rite</t>
  </si>
  <si>
    <t>Flow Meter</t>
  </si>
  <si>
    <t>Fuel Filter</t>
  </si>
  <si>
    <t>Storage Tank Storage Tank Cylindrical SW Steel Above Ground UL 142 1365 L  Al Ayash</t>
  </si>
  <si>
    <t>1365 L</t>
  </si>
  <si>
    <t>Storage Tank Storage Tank Cylindrical SW Steel Above Ground UL 142 3200 L  Al Ayash</t>
  </si>
  <si>
    <t>3200 L</t>
  </si>
  <si>
    <t>Model</t>
  </si>
  <si>
    <t>Overhead</t>
  </si>
  <si>
    <t>Risk</t>
  </si>
  <si>
    <t>Unit Selling Price</t>
  </si>
  <si>
    <t>Unit Cost (USD)</t>
  </si>
  <si>
    <t>Unit Cost (SAR)</t>
  </si>
  <si>
    <t xml:space="preserve">Storage Tank 1 </t>
  </si>
  <si>
    <t>Day Tanks for ST 1</t>
  </si>
  <si>
    <t>Storage Tank 2</t>
  </si>
  <si>
    <t>Day Tanks for ST 2</t>
  </si>
  <si>
    <t>TMS2000-21-01-0</t>
  </si>
  <si>
    <t>Discount</t>
  </si>
  <si>
    <t>Unit Cost After Discount (USD)</t>
  </si>
  <si>
    <t>Tank</t>
  </si>
  <si>
    <t>Float Switch Cap</t>
  </si>
  <si>
    <t>Level Probe Cap</t>
  </si>
  <si>
    <t>MP450S</t>
  </si>
  <si>
    <t>LS600-3-BBH-8MB-L02</t>
  </si>
  <si>
    <t>S2K2</t>
  </si>
  <si>
    <t>LDBN-1</t>
  </si>
  <si>
    <t>ETD1000-31-00-0</t>
  </si>
  <si>
    <t>Remote Display</t>
  </si>
  <si>
    <t>ATG Dry Cost</t>
  </si>
  <si>
    <t>ATG Profit</t>
  </si>
  <si>
    <t>ATG Price</t>
  </si>
  <si>
    <t>Unit Cost</t>
  </si>
  <si>
    <t>Unit Profit</t>
  </si>
  <si>
    <t>Sub-Total Selling Price</t>
  </si>
  <si>
    <t>Unit Cost Including Customs and Shipping</t>
  </si>
  <si>
    <t>Total Quantity Selling Price</t>
  </si>
  <si>
    <t>Total Quantity Dry Cost</t>
  </si>
  <si>
    <t>Material Dry Cost</t>
  </si>
  <si>
    <t>Material Profit</t>
  </si>
  <si>
    <t>Manpower Cost
(Inside Riyadh)</t>
  </si>
  <si>
    <t>Installation Net Profit
(Outside Riyadh)</t>
  </si>
  <si>
    <t>Installation Dry Cost
(Inside Riyadh)</t>
  </si>
  <si>
    <t>Installation Profit
(Inside Riyadh)</t>
  </si>
  <si>
    <t>Installation Price
(Outside Riyadh)</t>
  </si>
  <si>
    <t>Installation Price
(Inside Riyadh)</t>
  </si>
  <si>
    <t>Transportation Cost
(Riyadh)</t>
  </si>
  <si>
    <t>Transportation Price
(Riyadh)</t>
  </si>
  <si>
    <t>Transportation Cost
(Outside Riyadh)</t>
  </si>
  <si>
    <t>Transportation Price
(Outside Riyadh)</t>
  </si>
  <si>
    <t>Electrical OH/Risk</t>
  </si>
  <si>
    <t>ATG OH/Risk</t>
  </si>
  <si>
    <t>Total Cost
(Inc. OH/Risk)</t>
  </si>
  <si>
    <t>Installation Overhead
(Outside Riyadh)</t>
  </si>
  <si>
    <t>Installation Dry Cost
(Outside Riyadh)</t>
  </si>
  <si>
    <t>Material OH/Risk2</t>
  </si>
  <si>
    <t>Manpower Cost 
(Outside Riyadh)</t>
  </si>
  <si>
    <t>Project Period
(Weeks)</t>
  </si>
  <si>
    <t>13000 L</t>
  </si>
  <si>
    <t>Storage Tank Storage Tank Cylindrical DW Steel Above Ground UL 142 6000 L  Al Ayash</t>
  </si>
  <si>
    <t>Storage Tank Storage Tank Cylindrical DW Steel Above Ground UL 142 3500 L  Al Ayash</t>
  </si>
  <si>
    <t>Day Tank Day Tank Cylindrical SW  Steel Above Ground UL 142 6000 L  Al Ayash</t>
  </si>
  <si>
    <t>Storage Tank Storage Tank Cylindrical SW Steel Above Ground UL 142 6000 L  Al Ayash</t>
  </si>
  <si>
    <t>Filling Line / Vent Line</t>
  </si>
  <si>
    <t>Interpipe</t>
  </si>
  <si>
    <t>BS Sch. 40 Pipe</t>
  </si>
  <si>
    <t>BS Sch.40 Seamless 1 meter BS Sch. 40 Pipe  80 mm Interpipe</t>
  </si>
  <si>
    <t>Bond</t>
  </si>
  <si>
    <t>100mm</t>
  </si>
  <si>
    <t>Jomar</t>
  </si>
  <si>
    <t>7000 L</t>
  </si>
  <si>
    <t>20 mm</t>
  </si>
  <si>
    <t>BS Sch. 80 Pipe</t>
  </si>
  <si>
    <t>BS Sch.80 Seamless 1 meter BS Sch. 80 Pipe  20 mm NKK</t>
  </si>
  <si>
    <t>BS Sch.80 Seamless 1 meter BS Sch. 80 Pipe  25 mm NKK</t>
  </si>
  <si>
    <t>BS Sch.80 Seamless 1 meter BS Sch. 80 Pipe  32 mm NKK</t>
  </si>
  <si>
    <t>BS Sch.80 Seamless 1 meter BS Sch. 80 Pipe  40 mm NKK</t>
  </si>
  <si>
    <t>BS Sch.80 Seamless 1 meter BS Sch. 80 Pipe  50 mm NKK</t>
  </si>
  <si>
    <t>20mm</t>
  </si>
  <si>
    <t>JD</t>
  </si>
  <si>
    <t>100 mm</t>
  </si>
  <si>
    <t>ERW Sch.40 BS Pipe 1m</t>
  </si>
  <si>
    <t>50x25 mm</t>
  </si>
  <si>
    <t>ATG System ATG System   Pneumercator</t>
  </si>
  <si>
    <t>Nibco</t>
  </si>
  <si>
    <t>Pressure Sensor Pressure Sensor   Winters</t>
  </si>
  <si>
    <t>Winters</t>
  </si>
  <si>
    <t>Pressure Sensor</t>
  </si>
  <si>
    <t>75000 L</t>
  </si>
  <si>
    <t>Storage Tank Storage Tank Cylindrical SW FRP  Above Ground Non-UL Listed 150000L  Amiantit</t>
  </si>
  <si>
    <t>Storage Tank Storage Tank Cylindrical SW FRP  Above Ground Non-UL Listed 100000 L  Amiantit</t>
  </si>
  <si>
    <t>Storage Tank Storage Tank Cylindrical SW FRP  Above Ground Non-UL Listed 75000 L  Amiantit</t>
  </si>
  <si>
    <t>150000 L</t>
  </si>
  <si>
    <t>Leak Sensor Cap</t>
  </si>
  <si>
    <t>IEC Custom Cap</t>
  </si>
  <si>
    <t>ETD1000-32-00-0</t>
  </si>
  <si>
    <t>Legend</t>
  </si>
  <si>
    <t>BS Sch.40 Seamless 1 meter BS Sch. 40 Floor Installation Pipe  100 mm NKK</t>
  </si>
  <si>
    <t>Ultrasonic Level Sensor with Digital Display</t>
  </si>
  <si>
    <t>TMS3000-21-061-110-0</t>
  </si>
  <si>
    <t>Iqama</t>
  </si>
  <si>
    <t>Housing</t>
  </si>
  <si>
    <t>Food</t>
  </si>
  <si>
    <t>Salary</t>
  </si>
  <si>
    <t>Monthly Cost</t>
  </si>
  <si>
    <t>Car Rent</t>
  </si>
  <si>
    <t>Monthly</t>
  </si>
  <si>
    <t>Weekly</t>
  </si>
  <si>
    <t>GRP Water Tank</t>
  </si>
  <si>
    <t>Day Tank Fire Rated Day Tank Rectangular DW Above Ground UL 142 730 L  Al Ayash</t>
  </si>
  <si>
    <t>Day Tank Fire Rated Day Tank Rectangular DW Above Ground UL 142 1290 L  Al Ayash</t>
  </si>
  <si>
    <t>Day Tank Fire Rated Day Tank Rectangular DW Above Ground UL 142 1560 L  Al Ayash</t>
  </si>
  <si>
    <t>Day Tank Fire Rated Day Tank Rectangular DW Above Ground UL 142 1920 L  Al Ayash</t>
  </si>
  <si>
    <t>Day Tank Fire Rated Day Tank Rectangular DW Above Ground UL 142 560 USG  Al Ayash</t>
  </si>
  <si>
    <t>730L</t>
  </si>
  <si>
    <t>1290L</t>
  </si>
  <si>
    <t>1560L</t>
  </si>
  <si>
    <t>1920L</t>
  </si>
  <si>
    <t>560USG</t>
  </si>
  <si>
    <t>Varisco</t>
  </si>
  <si>
    <t>Pump</t>
  </si>
  <si>
    <t>Valve</t>
  </si>
  <si>
    <t>Pipe Accessories</t>
  </si>
  <si>
    <t>Filling Point</t>
  </si>
  <si>
    <t>Level Indicator</t>
  </si>
  <si>
    <t>Vent</t>
  </si>
  <si>
    <t>Single Gear Pump</t>
  </si>
  <si>
    <t>Sub-item</t>
  </si>
  <si>
    <t>Pump Duplex Gear Pump 5 GPM  VIKING</t>
  </si>
  <si>
    <t>Pump Duplex Gear Pump 10 GPM  VIKING</t>
  </si>
  <si>
    <t>Pump Duplex Gear Pump 20 GPM  VIKING</t>
  </si>
  <si>
    <t>Pump Duplex Gear Pump 30 GPM  VIKING</t>
  </si>
  <si>
    <t>Pump Duplex Gear Pump 40 GPM  VIKING</t>
  </si>
  <si>
    <t>Pump Duplex Gear Pump 50 GPM  VIKING</t>
  </si>
  <si>
    <t>Pump Duplex Gear Pump 100 GPM  VIKING</t>
  </si>
  <si>
    <t>Pump Single Submersible Pump 1/2 HP  Franklin Fueling</t>
  </si>
  <si>
    <t>Pump Single Submersible Pump 3/4 HP  Franklin Fueling</t>
  </si>
  <si>
    <t>Pump Single Submersible Pump 1 HP  Franklin Fueling</t>
  </si>
  <si>
    <t>Pump Single Submersible Pump 1.5 HP  Franklin Fueling</t>
  </si>
  <si>
    <t>Pump Single Submersible Pump 2 HP  Franklin Fueling</t>
  </si>
  <si>
    <t>Pump Single Submersible Pump 4 HP  Franklin Fueling</t>
  </si>
  <si>
    <t>Valve Ball Valve  25 mm NIBCO</t>
  </si>
  <si>
    <t>Valve Ball Valve  32 mm NIBCO</t>
  </si>
  <si>
    <t>Valve Ball Valve  40 mm NIBCO</t>
  </si>
  <si>
    <t>Valve Ball Valve  50 mm NIBCO</t>
  </si>
  <si>
    <t>Valve Ball Valve  65 mm NIBCO</t>
  </si>
  <si>
    <t>Valve Ball Valve  80 mm NIBCO</t>
  </si>
  <si>
    <t>Valve Check Valve  25 mm NIBCO</t>
  </si>
  <si>
    <t>Valve Check Valve  32 mm NIBCO</t>
  </si>
  <si>
    <t>Valve Check Valve  40 mm NIBCO</t>
  </si>
  <si>
    <t>Valve Check Valve  50 mm NIBCO</t>
  </si>
  <si>
    <t>Valve Check Valve  65 mm NIBCO</t>
  </si>
  <si>
    <t>Valve Check Valve  80 mm NIBCO</t>
  </si>
  <si>
    <t>Valve Emergency Shutoff Valve  40 mm OPW</t>
  </si>
  <si>
    <t>Valve Emergency Shutoff Valve  50 mm OPW</t>
  </si>
  <si>
    <t>Valve Emergency Shutoff Valve  65 mm OPW</t>
  </si>
  <si>
    <t>Valve Emergency Shutoff Valve  80 mm OPW</t>
  </si>
  <si>
    <t>Valve Foot Valve  25 mm ITAP</t>
  </si>
  <si>
    <t>Valve Foot Valve  32 mm ITAP</t>
  </si>
  <si>
    <t>Valve Foot Valve  40 mm ITAP</t>
  </si>
  <si>
    <t>Valve Foot Valve  50 mm ITAP</t>
  </si>
  <si>
    <t>Valve Foot Valve  65 mm ITAP</t>
  </si>
  <si>
    <t>Valve Foot Valve  80 mm ITAP</t>
  </si>
  <si>
    <t>Valve Solenoid Valve  25 mm Parker</t>
  </si>
  <si>
    <t>Valve Solenoid Valve  32 mm Parker</t>
  </si>
  <si>
    <t>Valve Solenoid Valve  40 mm Parker</t>
  </si>
  <si>
    <t>Valve Solenoid Valve  50 mm Parker</t>
  </si>
  <si>
    <t>Valve Solenoid Valve  65 mm Parker</t>
  </si>
  <si>
    <t>Valve Solenoid Valve  80 mm Parker</t>
  </si>
  <si>
    <t>Solenoid Valve  50 mm Magnatrol</t>
  </si>
  <si>
    <t>Valve Ball Valve  25 mm Bond</t>
  </si>
  <si>
    <t>Valve Ball Valve  32 mm Bond</t>
  </si>
  <si>
    <t>Valve Ball Valve  40 mm Bond</t>
  </si>
  <si>
    <t>Valve Ball Valve  50 mm Bond</t>
  </si>
  <si>
    <t>Valve Check Valve  25 mm Jomar</t>
  </si>
  <si>
    <t>Valve Check Valve  32 mm Jomar</t>
  </si>
  <si>
    <t>Valve Check Valve  40 mm Jomar</t>
  </si>
  <si>
    <t>Valve Check Valve  50 mm Jomar</t>
  </si>
  <si>
    <t>Valve Check Valve  65 mm Jomar</t>
  </si>
  <si>
    <t>Valve Check Valve  80 mm Jomar</t>
  </si>
  <si>
    <t>Valve Check Valve  100 mm Jomar</t>
  </si>
  <si>
    <t>Valve Gate Valve  20 mm NIBCO</t>
  </si>
  <si>
    <t>Valve Gate Valve  50 mm NIBCO</t>
  </si>
  <si>
    <t>Valve OFPV (Gravity)   Franklin Fueling</t>
  </si>
  <si>
    <t>Pipe Accessories Flexible Hose  25 mm Vector</t>
  </si>
  <si>
    <t>Pipe Accessories Flexible Hose  32 mm Vector</t>
  </si>
  <si>
    <t>Pipe Accessories Flexible Hose  40 mm Vector</t>
  </si>
  <si>
    <t>Pipe Accessories Flexible Hose  50 mm Vector</t>
  </si>
  <si>
    <t>Pipe Accessories Flexible Hose  65 mm Vector</t>
  </si>
  <si>
    <t>Pipe Accessories Flexible Hose  80 mm Vector</t>
  </si>
  <si>
    <t>Pipe Accessories Y Strainer  25 mm GALA</t>
  </si>
  <si>
    <t>Pipe Accessories Y Strainer  32 mm GALA</t>
  </si>
  <si>
    <t>Pipe Accessories Y Strainer  40 mm GALA</t>
  </si>
  <si>
    <t>Pipe Accessories Y Strainer  50 mm GALA</t>
  </si>
  <si>
    <t>Pipe Accessories Y Strainer  65 mm GALA</t>
  </si>
  <si>
    <t>Pipe Accessories Y Strainer  80 mm GALA</t>
  </si>
  <si>
    <t>Pipe Accessories Duplex Strainer  50 mm Hydroflex</t>
  </si>
  <si>
    <t>Pipe Accessories Y Strainer  40 mm Legend</t>
  </si>
  <si>
    <t>Level Indicator Magnetic Float Switch 3 Level (Storage Tank)   WIKA</t>
  </si>
  <si>
    <t>Level Indicator Level Probe EDM-40   Inpro</t>
  </si>
  <si>
    <t>Level Indicator Ultrasonic Level Sensor with Digital Display   Inpro</t>
  </si>
  <si>
    <t>Level Indicator Level Probe with Digital Display   Inpro</t>
  </si>
  <si>
    <t>Filling Point OPW Spill Container 5 Gallon   OPW</t>
  </si>
  <si>
    <t>Filling Point Filling Cabinet with Camlock and Ball Valve   SFFECO</t>
  </si>
  <si>
    <t xml:space="preserve">Filling Point Camlock with Ball Valve   </t>
  </si>
  <si>
    <t>Vent Vent Cap 2" (Day Tank)   OPW</t>
  </si>
  <si>
    <t>Vent Emergency Vent   Morison</t>
  </si>
  <si>
    <t>Misc</t>
  </si>
  <si>
    <t>Inside Riyadh Installation Cost</t>
  </si>
  <si>
    <t>Riyadh</t>
  </si>
  <si>
    <t>Basket Strainer</t>
  </si>
  <si>
    <t>MNT</t>
  </si>
  <si>
    <t>Differential Pressure Switch</t>
  </si>
  <si>
    <t>Profit</t>
  </si>
  <si>
    <t>Day Tank Day Tank Rectangular DW Steel Above Ground UL 142 3200 L  Al Ayash</t>
  </si>
  <si>
    <t>Pipe Accessories Flow Switch   WIKA</t>
  </si>
  <si>
    <t>LS600-4-BBH-8MB-L02</t>
  </si>
  <si>
    <t>Float Kit</t>
  </si>
  <si>
    <t>Pipe Accessories Basket Strainer  40 mm VIKING</t>
  </si>
  <si>
    <t>Pipe Accessories Differential Pressure Switch   United Electric</t>
  </si>
  <si>
    <t>Overhead (10%)</t>
  </si>
  <si>
    <t>Installation Overhead &amp; Risk
(Inside Riyadh)</t>
  </si>
  <si>
    <t>500 L</t>
  </si>
  <si>
    <t>Day Tank Day Tank Rectangular SW Steel Above Ground UL 142 500 L  Al Ayash</t>
  </si>
  <si>
    <t>Pipe Accessories Flow Meter   Fill Rite</t>
  </si>
  <si>
    <t>OFPV (Pressure Fill)</t>
  </si>
  <si>
    <t>Storage Tank Cylindrical SW Steel Above Ground non-UL</t>
  </si>
  <si>
    <t>Day Tank Day Tank Cylindrical SW  Steel Above Ground non-UL 3200 L  Al Ayash</t>
  </si>
  <si>
    <t>Day Tank Day Tank Cylindrical SW  Steel Above Ground non-UL 2000 L  Al Ayash</t>
  </si>
  <si>
    <t>Storage Tank Storage Tank Cylindrical DW Steel Above Ground UL 142 5000 L  Al Ayash</t>
  </si>
  <si>
    <t>5000 L</t>
  </si>
  <si>
    <t>Storage Tank Storage Tank Cylindrical DW Steel Above Ground UL 142 7000 L  Al Ayash</t>
  </si>
  <si>
    <t>Storage Tank Storage Tank Cylindrical DW Steel Above Ground UL 142 11000 L  Al Ayash</t>
  </si>
  <si>
    <t>11000 L</t>
  </si>
  <si>
    <t>Storage Tank Storage Tank Cylindrical DW Steel Above Ground UL 142 16000 L  Al Ayash</t>
  </si>
  <si>
    <t>16000 L</t>
  </si>
  <si>
    <t>Storage Tank Storage Tank Cylindrical DW Steel Above Ground UL 142 27000 L  Al Ayash</t>
  </si>
  <si>
    <t>Oil Lubrication</t>
  </si>
  <si>
    <t>Project Name</t>
  </si>
  <si>
    <t>Contractor / RFQ Sender</t>
  </si>
  <si>
    <t>Project Location</t>
  </si>
  <si>
    <t>Project Status</t>
  </si>
  <si>
    <t>Pump Single Gear Pump 50 GPM  VIKING</t>
  </si>
  <si>
    <t>TANKS TOTAL QUANTITY</t>
  </si>
  <si>
    <t>Ridart</t>
  </si>
  <si>
    <t>Valve OFPV (Pressure Fill)   Ridart</t>
  </si>
  <si>
    <t>15 GPM</t>
  </si>
  <si>
    <t>COLUMN 1</t>
  </si>
  <si>
    <t>COLUMN 2</t>
  </si>
  <si>
    <t>50 SAR / Box</t>
  </si>
  <si>
    <t>Storage Tank Storage Tank Cylindrical SW Steel Above Ground UL 142 11250 L  Al Ayash</t>
  </si>
  <si>
    <t>Fuel Dispenser With Flow Meter</t>
  </si>
  <si>
    <t>Dispenser Sump</t>
  </si>
  <si>
    <t>STP Control Box</t>
  </si>
  <si>
    <t>Entry Boots</t>
  </si>
  <si>
    <t>Blue Sky</t>
  </si>
  <si>
    <t>Fibrelite</t>
  </si>
  <si>
    <t xml:space="preserve">STP Control Box STP Control Box   </t>
  </si>
  <si>
    <t>Fuel Dispenser</t>
  </si>
  <si>
    <t xml:space="preserve">Dispenser Sump Dispenser Sump   </t>
  </si>
  <si>
    <t>Afriso</t>
  </si>
  <si>
    <t>Discriminating Oil Leak Detection Sensor</t>
  </si>
  <si>
    <t>Transportation Charges to Riyadh</t>
  </si>
  <si>
    <t xml:space="preserve">Transportation Charges Transportation Charges to Riyadh   </t>
  </si>
  <si>
    <t xml:space="preserve">UNIT PRICE </t>
  </si>
  <si>
    <t xml:space="preserve">TOTAL PRICE </t>
  </si>
  <si>
    <t>Day Tank Day Tank Cylindrical DW Steel Above Ground UL 142 5000 L  Al Ayash</t>
  </si>
  <si>
    <t>Storage Tank Storage Tank Cylindrical DW Steel Above Ground UL 142 13500 L  Al Ayash</t>
  </si>
  <si>
    <t>13500 L</t>
  </si>
  <si>
    <t>Storage Tank Storage Tank Cylindrical DW Steel Above Ground UL 142 17000 L  Al Ayash</t>
  </si>
  <si>
    <t>17000 L</t>
  </si>
  <si>
    <t>Storage Tank Storage Tank Cylindrical DW Steel Above Ground UL 142 22000 L  Al Ayash</t>
  </si>
  <si>
    <t>22000 L</t>
  </si>
  <si>
    <t>Storage Tank Storage Tank Cylindrical DW Steel Above Ground UL 142 8000 L  Al Ayash</t>
  </si>
  <si>
    <t>ECI</t>
  </si>
  <si>
    <t>Valve Ball Valve  25 mm ECI</t>
  </si>
  <si>
    <t>Valve Ball Valve  40 mm ECI</t>
  </si>
  <si>
    <t>Valve Ball Valve  50 mm ECI</t>
  </si>
  <si>
    <t>Valve Check Valve  25 mm ECI</t>
  </si>
  <si>
    <t>Valve Check Valve  40 mm ECI</t>
  </si>
  <si>
    <t>Valve Check Valve  50 mm ECI</t>
  </si>
  <si>
    <t>Pipe Accessories Y Strainer  25 mm ECI</t>
  </si>
  <si>
    <t>Pipe Accessories Y Strainer  40 mm ECI</t>
  </si>
  <si>
    <t>Pipe Accessories Y Strainer  50 mm ECI</t>
  </si>
  <si>
    <t>Valve Ball Valve  80 mm ECI</t>
  </si>
  <si>
    <t>Valve Check Valve  80 mm ECI</t>
  </si>
  <si>
    <t>Pipe Accessories Y Strainer  80 mm ECI</t>
  </si>
  <si>
    <t>Underground Sch.40 BS Pipe w/denso Tape</t>
  </si>
  <si>
    <t>Underground Sch.80 BS Pipe w/denso Tape</t>
  </si>
  <si>
    <t>BS Sch.40 Seamless 1 meter Underground Sch.40 BS Pipe w/denso Tape  25 mm NKK</t>
  </si>
  <si>
    <t>BS Sch.40 Seamless 1 meter Underground Sch.40 BS Pipe w/denso Tape  32 mm NKK</t>
  </si>
  <si>
    <t>BS Sch.40 Seamless 1 meter Underground Sch.40 BS Pipe w/denso Tape  40 mm NKK</t>
  </si>
  <si>
    <t>BS Sch.40 Seamless 1 meter Underground Sch.40 BS Pipe w/denso Tape  50 mm NKK</t>
  </si>
  <si>
    <t>BS Sch.40 Seamless 1 meter Underground Sch.40 BS Pipe w/denso Tape  80 mm NKK</t>
  </si>
  <si>
    <t>BS Sch.40 Seamless 1 meter Underground Sch.40 BS Pipe w/denso Tape  100 mm NKK</t>
  </si>
  <si>
    <t>HDPE Pipe</t>
  </si>
  <si>
    <t>Tank Sump</t>
  </si>
  <si>
    <t>OPW KPS Double wall Piping with KPS Fittings</t>
  </si>
  <si>
    <t>OPW KPS Single wall Piping with KPS Fittings</t>
  </si>
  <si>
    <t>HDPE Pipe OPW KPS Single wall Piping with KPS Fittings  110 mm OPW KPS</t>
  </si>
  <si>
    <t>63 mm</t>
  </si>
  <si>
    <t>110 mm</t>
  </si>
  <si>
    <t>110/75 mm</t>
  </si>
  <si>
    <t>75/63 mm</t>
  </si>
  <si>
    <t>125/110 mm</t>
  </si>
  <si>
    <t xml:space="preserve">HDPE Pipe OPW KPS Double wall Piping with KPS Fittings  75/63 mm </t>
  </si>
  <si>
    <t xml:space="preserve">HDPE Pipe OPW KPS Double wall Piping with KPS Fittings  110/75 mm </t>
  </si>
  <si>
    <t xml:space="preserve">HDPE Pipe OPW KPS Single wall Piping with KPS Fittings  63 mm </t>
  </si>
  <si>
    <t>General Fuels</t>
  </si>
  <si>
    <t>Signal Cable Rolls (Nos)
2x24AWG</t>
  </si>
  <si>
    <t>Power Cable Length (m)
4Cx4MM2</t>
  </si>
  <si>
    <t>1" Conduit Length</t>
  </si>
  <si>
    <t>Signal Cable Price</t>
  </si>
  <si>
    <t>Power Cable Price</t>
  </si>
  <si>
    <t>15 SAR / M</t>
  </si>
  <si>
    <t>ST</t>
  </si>
  <si>
    <t>DT</t>
  </si>
  <si>
    <t>FP</t>
  </si>
  <si>
    <t>1" Signal Conduit</t>
  </si>
  <si>
    <t>1" Power Conduit</t>
  </si>
  <si>
    <t>ST-CP</t>
  </si>
  <si>
    <t>DT-CP</t>
  </si>
  <si>
    <t>FP-CP</t>
  </si>
  <si>
    <t>1.5" Power Conduit</t>
  </si>
  <si>
    <t>1.5" Conduit
Length</t>
  </si>
  <si>
    <t>1" 60 SAR / 3m</t>
  </si>
  <si>
    <t>1.5" 90 SAR / 3m</t>
  </si>
  <si>
    <t>1000 SAR / Roll</t>
  </si>
  <si>
    <t>X</t>
  </si>
  <si>
    <t>Y</t>
  </si>
  <si>
    <t>Z</t>
  </si>
  <si>
    <t>25-250 LPM</t>
  </si>
  <si>
    <t>55-550 LPM</t>
  </si>
  <si>
    <t>115-1150 LPM</t>
  </si>
  <si>
    <t>Gespasa</t>
  </si>
  <si>
    <t>Pipe Accessories Flow Meter 25-250 LPM  Gespasa</t>
  </si>
  <si>
    <t>Pipe Accessories Flow Meter 55-550 LPM  Gespasa</t>
  </si>
  <si>
    <t>Pipe Accessories Flow Meter 115-1150 LPM  Gespasa</t>
  </si>
  <si>
    <t>Pipe Accessories Fuel Filter   Parker</t>
  </si>
  <si>
    <t>Truck Transportation Costs</t>
  </si>
  <si>
    <t>Truck type</t>
  </si>
  <si>
    <t>Cost</t>
  </si>
  <si>
    <t>Standard</t>
  </si>
  <si>
    <t>Low-bed</t>
  </si>
  <si>
    <t>Remote</t>
  </si>
  <si>
    <t>Special Discount</t>
  </si>
  <si>
    <t>Total After Discount Excluding VAT</t>
  </si>
  <si>
    <t>Morrison Bros</t>
  </si>
  <si>
    <t>Fuel Dispenser Fuel Dispenser With Flow Meter   Blue Sky</t>
  </si>
  <si>
    <t>Flanged Ball Valve</t>
  </si>
  <si>
    <t>Flanged Check Valve</t>
  </si>
  <si>
    <t>Valve Flanged Ball Valve  65 mm Jomar</t>
  </si>
  <si>
    <t>Valve Flanged Ball Valve  80 mm Jomar</t>
  </si>
  <si>
    <t>Valve Flanged Ball Valve  100 mm Jomar</t>
  </si>
  <si>
    <t>Shipping
(Overseas)</t>
  </si>
  <si>
    <t>Custom &amp; Clearance
(Overseas)</t>
  </si>
  <si>
    <t>Local Market</t>
  </si>
  <si>
    <t>Wika</t>
  </si>
  <si>
    <t>International Solutions</t>
  </si>
  <si>
    <t>FKK</t>
  </si>
  <si>
    <t>Tamkeen</t>
  </si>
  <si>
    <t>Oil Leak Detection Sensor Discriminating Oil Leak Detection Sensor  Afriso</t>
  </si>
  <si>
    <t xml:space="preserve">75/63 mm </t>
  </si>
  <si>
    <t xml:space="preserve">63 mm </t>
  </si>
  <si>
    <t xml:space="preserve">110 mm </t>
  </si>
  <si>
    <t>Total Material Cost
Including Shipping &amp; CC</t>
  </si>
  <si>
    <t>Material Cost (USD)</t>
  </si>
  <si>
    <t>Material Cost (EUR)</t>
  </si>
  <si>
    <t>Material Cost (AED)</t>
  </si>
  <si>
    <t>Material Cost (SAR)</t>
  </si>
  <si>
    <t>USA</t>
  </si>
  <si>
    <t>EUROPE</t>
  </si>
  <si>
    <t>UAE</t>
  </si>
  <si>
    <t>Daily</t>
  </si>
  <si>
    <t>Hourly</t>
  </si>
  <si>
    <t>Number of Workers</t>
  </si>
  <si>
    <t>Workers</t>
  </si>
  <si>
    <t>Number of Engineers</t>
  </si>
  <si>
    <t>Number of Supervisors</t>
  </si>
  <si>
    <t>Engineers</t>
  </si>
  <si>
    <t>Supervisors</t>
  </si>
  <si>
    <t>Gross Profit</t>
  </si>
  <si>
    <t>Gross Profit Margin (%)</t>
  </si>
  <si>
    <t>Net Profit Margin(%)</t>
  </si>
  <si>
    <t>Dry Cost + Overhead + Risk</t>
  </si>
  <si>
    <t>Dry Cost + Gross Profit</t>
  </si>
  <si>
    <t>(Gross Profit/Selling Price) x 100</t>
  </si>
  <si>
    <t>Selling Price - Total Cost</t>
  </si>
  <si>
    <t>(Net Profit / Selling Price) x 100</t>
  </si>
  <si>
    <t>SELLING PRICE</t>
  </si>
  <si>
    <t>PROFIT ANALYSIS</t>
  </si>
  <si>
    <t>COGS</t>
  </si>
  <si>
    <t>Company Overhead including installation costs
(41% of COGS)</t>
  </si>
  <si>
    <t>5% of COGS</t>
  </si>
  <si>
    <t>Selling Price - COGS</t>
  </si>
  <si>
    <t>(Selling Price/COGS -1) x 100</t>
  </si>
  <si>
    <t>W.r.t COGS</t>
  </si>
  <si>
    <t>Min Selling Price</t>
  </si>
  <si>
    <t>BREAKDOWN TREE</t>
  </si>
  <si>
    <t>GROSS PROFIT</t>
  </si>
  <si>
    <t>OH</t>
  </si>
  <si>
    <t>Net Profit</t>
  </si>
  <si>
    <t>Installation Costs</t>
  </si>
  <si>
    <t>Total Costs</t>
  </si>
  <si>
    <t>MIN SELLING PRICE</t>
  </si>
  <si>
    <t>Accepted / Rejected</t>
  </si>
  <si>
    <t>MIN INSTALLATION PRICE</t>
  </si>
  <si>
    <t>INSTALLATION PRICE</t>
  </si>
  <si>
    <t>MATERIAL PRICE</t>
  </si>
  <si>
    <t>VAT</t>
  </si>
  <si>
    <t>Total Including VAT</t>
  </si>
  <si>
    <t>ADDITIONAL INSTALLATION PRICE</t>
  </si>
  <si>
    <t>Mild Steel Filling Cabinet with Powder Coating - 2"</t>
  </si>
  <si>
    <t>Mild Steel Filling Cabinet with Powder Coating - 3"</t>
  </si>
  <si>
    <t>Stainless Steel Filling Cabinet with Camlock and Ball Valve - 2"</t>
  </si>
  <si>
    <t>Stainless Steel Filling Cabinet with Camlock and Ball Valve - 3"</t>
  </si>
  <si>
    <t>750 L</t>
  </si>
  <si>
    <t>9000 L</t>
  </si>
  <si>
    <t>12000 L</t>
  </si>
  <si>
    <t>14000 L</t>
  </si>
  <si>
    <t>18000 L</t>
  </si>
  <si>
    <t>19000 L</t>
  </si>
  <si>
    <t>70000 L</t>
  </si>
  <si>
    <t>80000 L</t>
  </si>
  <si>
    <t>SHM</t>
  </si>
  <si>
    <t>Monitoring Well</t>
  </si>
  <si>
    <t xml:space="preserve">Oil Leak Detection Sensor Monitoring Well   </t>
  </si>
  <si>
    <t>Underground Double Wall Sch.40 BS Pipe</t>
  </si>
  <si>
    <t>Filling Point Stainless Steel Filling Cabinet with Camlock and Ball Valve - 2"   SFFECO</t>
  </si>
  <si>
    <t>Filling Point Stainless Steel Filling Cabinet with Camlock and Ball Valve - 3"   SFFECO</t>
  </si>
  <si>
    <t>Filling Point Mild Steel Filling Cabinet with Powder Coating - 2"   SFFECO</t>
  </si>
  <si>
    <t>Filling Point Mild Steel Filling Cabinet with Powder Coating - 3"   SFFECO</t>
  </si>
  <si>
    <t>Storage Tank Cylindrical DW Steel FRP Underground UL58</t>
  </si>
  <si>
    <t>Pump Single Gear Pump 5 GPM  VIKING</t>
  </si>
  <si>
    <t>Pump Single Gear Pump 10 GPM  VIKING</t>
  </si>
  <si>
    <t>Pump Single Gear Pump 20 GPM  VIKING</t>
  </si>
  <si>
    <t>Magnetic Float Switch 4 Level</t>
  </si>
  <si>
    <t>Magnetic Float Switch (Storage Tank) - 2 Levels</t>
  </si>
  <si>
    <t>Magnetic Float Switch (Day Tank) - 2 Levels</t>
  </si>
  <si>
    <t>Vent Cap with Flame Arrester 2"</t>
  </si>
  <si>
    <t>Vent Cap with Flame Arrester 3"</t>
  </si>
  <si>
    <t>Vent Cap 2"</t>
  </si>
  <si>
    <t>Level Indicator Magnetic Float Switch (Storage Tank) - 2 Levels   WIKA</t>
  </si>
  <si>
    <t>Level Indicator Magnetic Float Switch (Day Tank) - 2 Levels   WIKA</t>
  </si>
  <si>
    <t>Vent Vent Cap with Flame Arrester 2"   Morrison Bros</t>
  </si>
  <si>
    <t>Vent Vent Cap with Flame Arrester 3"   Morrison Bros</t>
  </si>
  <si>
    <t>Level Indicator Magnetic Float Switch 4 Level   WIKA</t>
  </si>
  <si>
    <t>Titan</t>
  </si>
  <si>
    <t>Pipe Accessories Duplex Strainer  25 mm Titan</t>
  </si>
  <si>
    <t>Pipe Accessories Duplex Strainer  32 mm Titan</t>
  </si>
  <si>
    <t>Pipe Accessories Duplex Strainer  40 mm Titan</t>
  </si>
  <si>
    <t>Pipe Accessories Duplex Strainer  50 mm Titan</t>
  </si>
  <si>
    <t>Pipe Accessories Duplex Strainer  80 mm Titan</t>
  </si>
  <si>
    <t>Pipe Accessories Duplex Strainer  100 mm Titan</t>
  </si>
  <si>
    <t>Emergency Vent 4"</t>
  </si>
  <si>
    <t>Emergency Vent 6"</t>
  </si>
  <si>
    <t>Vent Emergency Vent 4"   Morrison Bros</t>
  </si>
  <si>
    <t>Vent Emergency Vent 6"   Morrison Bros</t>
  </si>
  <si>
    <t>Installation Overhead &amp; Risk
(Outside Riyadh)</t>
  </si>
  <si>
    <t>Storage Tank Storage Tank Cylindrical DW Steel Above Ground UL 142 30000 L  Al Ayash</t>
  </si>
  <si>
    <t>Outside Riyadh Installation Cost (Monthly)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</si>
</sst>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SAR]\ #,##0"/>
    <numFmt numFmtId="165" formatCode="[$-409]d\-mmm\-yy;@"/>
    <numFmt numFmtId="166" formatCode="[$SAR]\ #,##0.00"/>
    <numFmt numFmtId="167" formatCode="[$SAR]\ #,##0.0"/>
    <numFmt numFmtId="168" formatCode="[$USD]\ #,##0.00"/>
    <numFmt numFmtId="169" formatCode="[$EUR]\ #,##0.00"/>
    <numFmt numFmtId="170" formatCode="[$AED]\ #,##0.00"/>
    <numFmt numFmtId="171" formatCode="0.0%"/>
  </numFmts>
  <fonts count="3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1"/>
      <color theme="9" tint="0.39997558519241921"/>
      <name val="Calibri"/>
      <family val="2"/>
      <scheme val="minor"/>
    </font>
    <font>
      <b/>
      <sz val="11"/>
      <color theme="5" tint="0.59999389629810485"/>
      <name val="Calibri"/>
      <family val="2"/>
      <scheme val="minor"/>
    </font>
    <font>
      <sz val="11"/>
      <color theme="5" tint="0.59999389629810485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0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2" fillId="8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8" fillId="12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166" fontId="0" fillId="12" borderId="1" xfId="0" applyNumberForma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 wrapText="1"/>
    </xf>
    <xf numFmtId="9" fontId="8" fillId="12" borderId="1" xfId="0" applyNumberFormat="1" applyFont="1" applyFill="1" applyBorder="1" applyAlignment="1">
      <alignment horizontal="center" vertical="center" wrapText="1"/>
    </xf>
    <xf numFmtId="2" fontId="0" fillId="1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1" xfId="0" applyFont="1" applyBorder="1"/>
    <xf numFmtId="166" fontId="2" fillId="0" borderId="1" xfId="0" applyNumberFormat="1" applyFont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166" fontId="2" fillId="7" borderId="1" xfId="0" applyNumberFormat="1" applyFont="1" applyFill="1" applyBorder="1" applyAlignment="1">
      <alignment horizontal="center" vertical="center"/>
    </xf>
    <xf numFmtId="166" fontId="2" fillId="12" borderId="1" xfId="0" applyNumberFormat="1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8" xfId="0" applyBorder="1" applyAlignment="1">
      <alignment horizontal="left" vertical="center"/>
    </xf>
    <xf numFmtId="166" fontId="0" fillId="7" borderId="1" xfId="0" applyNumberFormat="1" applyFill="1" applyBorder="1" applyAlignment="1">
      <alignment horizontal="center" vertical="center"/>
    </xf>
    <xf numFmtId="166" fontId="0" fillId="0" borderId="0" xfId="0" applyNumberFormat="1"/>
    <xf numFmtId="0" fontId="0" fillId="0" borderId="2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9" fontId="0" fillId="0" borderId="22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1" xfId="0" applyNumberFormat="1" applyBorder="1" applyAlignment="1">
      <alignment horizontal="center" vertical="center"/>
    </xf>
    <xf numFmtId="168" fontId="0" fillId="0" borderId="22" xfId="0" applyNumberFormat="1" applyBorder="1" applyAlignment="1">
      <alignment horizontal="center" vertical="center"/>
    </xf>
    <xf numFmtId="166" fontId="0" fillId="0" borderId="22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168" fontId="0" fillId="0" borderId="27" xfId="0" applyNumberFormat="1" applyBorder="1" applyAlignment="1">
      <alignment horizontal="center" vertical="center"/>
    </xf>
    <xf numFmtId="9" fontId="0" fillId="0" borderId="27" xfId="0" applyNumberFormat="1" applyBorder="1" applyAlignment="1">
      <alignment horizontal="center" vertical="center"/>
    </xf>
    <xf numFmtId="166" fontId="0" fillId="0" borderId="27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2" fillId="11" borderId="16" xfId="0" applyFont="1" applyFill="1" applyBorder="1" applyAlignment="1">
      <alignment vertical="center" wrapText="1"/>
    </xf>
    <xf numFmtId="0" fontId="21" fillId="11" borderId="16" xfId="0" applyFont="1" applyFill="1" applyBorder="1" applyAlignment="1">
      <alignment vertical="center" wrapText="1"/>
    </xf>
    <xf numFmtId="0" fontId="4" fillId="7" borderId="17" xfId="0" applyFont="1" applyFill="1" applyBorder="1" applyAlignment="1">
      <alignment vertical="center"/>
    </xf>
    <xf numFmtId="0" fontId="4" fillId="10" borderId="20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vertical="center"/>
    </xf>
    <xf numFmtId="0" fontId="4" fillId="7" borderId="13" xfId="0" applyFont="1" applyFill="1" applyBorder="1" applyAlignment="1">
      <alignment horizontal="center" vertical="center" wrapText="1"/>
    </xf>
    <xf numFmtId="0" fontId="4" fillId="7" borderId="14" xfId="0" applyFont="1" applyFill="1" applyBorder="1" applyAlignment="1">
      <alignment horizontal="center" vertical="center" wrapText="1"/>
    </xf>
    <xf numFmtId="0" fontId="4" fillId="7" borderId="15" xfId="0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 wrapText="1"/>
    </xf>
    <xf numFmtId="0" fontId="4" fillId="8" borderId="14" xfId="0" applyFont="1" applyFill="1" applyBorder="1" applyAlignment="1">
      <alignment horizontal="center" vertical="center" wrapText="1"/>
    </xf>
    <xf numFmtId="0" fontId="4" fillId="8" borderId="15" xfId="0" applyFont="1" applyFill="1" applyBorder="1" applyAlignment="1">
      <alignment horizontal="center" vertical="center" wrapText="1"/>
    </xf>
    <xf numFmtId="0" fontId="4" fillId="9" borderId="13" xfId="0" applyFont="1" applyFill="1" applyBorder="1" applyAlignment="1">
      <alignment horizontal="center" vertical="center" wrapText="1"/>
    </xf>
    <xf numFmtId="0" fontId="4" fillId="9" borderId="14" xfId="0" applyFont="1" applyFill="1" applyBorder="1" applyAlignment="1">
      <alignment horizontal="center" vertical="center" wrapText="1"/>
    </xf>
    <xf numFmtId="0" fontId="4" fillId="9" borderId="49" xfId="0" applyFont="1" applyFill="1" applyBorder="1" applyAlignment="1">
      <alignment horizontal="center" vertical="center" wrapText="1"/>
    </xf>
    <xf numFmtId="0" fontId="4" fillId="9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0" fontId="22" fillId="0" borderId="23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/>
    </xf>
    <xf numFmtId="0" fontId="22" fillId="0" borderId="8" xfId="0" applyFont="1" applyBorder="1" applyAlignment="1" applyProtection="1">
      <alignment horizontal="center" vertical="center" wrapText="1"/>
      <protection locked="0"/>
    </xf>
    <xf numFmtId="0" fontId="22" fillId="0" borderId="1" xfId="0" applyFont="1" applyBorder="1" applyAlignment="1" applyProtection="1">
      <alignment horizontal="center" vertical="center" wrapText="1"/>
      <protection locked="0"/>
    </xf>
    <xf numFmtId="0" fontId="22" fillId="0" borderId="9" xfId="0" applyFont="1" applyBorder="1" applyAlignment="1" applyProtection="1">
      <alignment horizontal="center" vertical="center" wrapText="1"/>
      <protection locked="0"/>
    </xf>
    <xf numFmtId="0" fontId="22" fillId="0" borderId="18" xfId="0" applyFont="1" applyBorder="1" applyAlignment="1">
      <alignment horizontal="center" vertical="center" wrapText="1"/>
    </xf>
    <xf numFmtId="2" fontId="22" fillId="0" borderId="8" xfId="0" applyNumberFormat="1" applyFont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center" vertical="center" wrapText="1"/>
    </xf>
    <xf numFmtId="1" fontId="22" fillId="0" borderId="8" xfId="0" applyNumberFormat="1" applyFont="1" applyBorder="1" applyAlignment="1">
      <alignment horizontal="center" vertical="center"/>
    </xf>
    <xf numFmtId="1" fontId="22" fillId="0" borderId="1" xfId="0" applyNumberFormat="1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10" xfId="0" applyFont="1" applyBorder="1" applyAlignment="1" applyProtection="1">
      <alignment horizontal="center" vertical="center" wrapText="1"/>
      <protection locked="0"/>
    </xf>
    <xf numFmtId="0" fontId="22" fillId="0" borderId="11" xfId="0" applyFont="1" applyBorder="1" applyAlignment="1" applyProtection="1">
      <alignment horizontal="center" vertical="center" wrapText="1"/>
      <protection locked="0"/>
    </xf>
    <xf numFmtId="0" fontId="22" fillId="0" borderId="12" xfId="0" applyFont="1" applyBorder="1" applyAlignment="1" applyProtection="1">
      <alignment horizontal="center" vertical="center" wrapText="1"/>
      <protection locked="0"/>
    </xf>
    <xf numFmtId="0" fontId="22" fillId="0" borderId="19" xfId="0" applyFont="1" applyBorder="1" applyAlignment="1">
      <alignment horizontal="center" vertical="center" wrapText="1"/>
    </xf>
    <xf numFmtId="2" fontId="22" fillId="0" borderId="10" xfId="0" applyNumberFormat="1" applyFont="1" applyBorder="1" applyAlignment="1">
      <alignment horizontal="center" vertical="center" wrapText="1"/>
    </xf>
    <xf numFmtId="2" fontId="22" fillId="0" borderId="11" xfId="0" applyNumberFormat="1" applyFont="1" applyBorder="1" applyAlignment="1">
      <alignment horizontal="center" vertical="center" wrapText="1"/>
    </xf>
    <xf numFmtId="1" fontId="22" fillId="0" borderId="10" xfId="0" applyNumberFormat="1" applyFont="1" applyBorder="1" applyAlignment="1">
      <alignment horizontal="center" vertical="center"/>
    </xf>
    <xf numFmtId="1" fontId="22" fillId="0" borderId="11" xfId="0" applyNumberFormat="1" applyFont="1" applyBorder="1" applyAlignment="1">
      <alignment horizontal="center" vertical="center"/>
    </xf>
    <xf numFmtId="0" fontId="22" fillId="15" borderId="8" xfId="0" applyFont="1" applyFill="1" applyBorder="1" applyAlignment="1">
      <alignment horizontal="center" vertical="center" wrapText="1"/>
    </xf>
    <xf numFmtId="0" fontId="22" fillId="15" borderId="1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15" borderId="11" xfId="0" applyFont="1" applyFill="1" applyBorder="1" applyAlignment="1">
      <alignment horizontal="center" vertical="center" wrapText="1"/>
    </xf>
    <xf numFmtId="1" fontId="22" fillId="15" borderId="1" xfId="0" applyNumberFormat="1" applyFont="1" applyFill="1" applyBorder="1" applyAlignment="1">
      <alignment horizontal="center" vertical="center"/>
    </xf>
    <xf numFmtId="1" fontId="22" fillId="15" borderId="11" xfId="0" applyNumberFormat="1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15" borderId="11" xfId="0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11" fillId="6" borderId="36" xfId="0" applyFont="1" applyFill="1" applyBorder="1" applyAlignment="1">
      <alignment horizontal="center" vertical="center" wrapText="1"/>
    </xf>
    <xf numFmtId="0" fontId="12" fillId="6" borderId="21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center" vertical="center" wrapText="1"/>
    </xf>
    <xf numFmtId="0" fontId="12" fillId="6" borderId="36" xfId="0" applyFont="1" applyFill="1" applyBorder="1" applyAlignment="1">
      <alignment horizontal="center" vertical="center" wrapText="1"/>
    </xf>
    <xf numFmtId="0" fontId="12" fillId="6" borderId="23" xfId="0" applyFont="1" applyFill="1" applyBorder="1" applyAlignment="1">
      <alignment horizontal="center" vertical="center" wrapText="1"/>
    </xf>
    <xf numFmtId="0" fontId="12" fillId="6" borderId="44" xfId="0" applyFont="1" applyFill="1" applyBorder="1" applyAlignment="1">
      <alignment horizontal="center" vertical="center" wrapText="1"/>
    </xf>
    <xf numFmtId="0" fontId="16" fillId="6" borderId="22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7" fillId="6" borderId="21" xfId="0" applyFont="1" applyFill="1" applyBorder="1" applyAlignment="1">
      <alignment horizontal="center" vertical="center" wrapText="1"/>
    </xf>
    <xf numFmtId="0" fontId="17" fillId="6" borderId="22" xfId="0" applyFont="1" applyFill="1" applyBorder="1" applyAlignment="1">
      <alignment horizontal="center" vertical="center" wrapText="1"/>
    </xf>
    <xf numFmtId="0" fontId="17" fillId="6" borderId="36" xfId="0" applyFont="1" applyFill="1" applyBorder="1" applyAlignment="1">
      <alignment horizontal="center" vertical="center" wrapText="1"/>
    </xf>
    <xf numFmtId="0" fontId="19" fillId="6" borderId="21" xfId="0" applyFont="1" applyFill="1" applyBorder="1" applyAlignment="1">
      <alignment horizontal="center" vertical="center" wrapText="1"/>
    </xf>
    <xf numFmtId="0" fontId="19" fillId="6" borderId="22" xfId="0" applyFont="1" applyFill="1" applyBorder="1" applyAlignment="1">
      <alignment horizontal="center" vertical="center" wrapText="1"/>
    </xf>
    <xf numFmtId="0" fontId="19" fillId="6" borderId="23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166" fontId="10" fillId="3" borderId="8" xfId="0" applyNumberFormat="1" applyFont="1" applyFill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166" fontId="12" fillId="0" borderId="8" xfId="0" applyNumberFormat="1" applyFont="1" applyBorder="1" applyAlignment="1">
      <alignment horizontal="center" vertical="center"/>
    </xf>
    <xf numFmtId="166" fontId="12" fillId="0" borderId="9" xfId="0" applyNumberFormat="1" applyFont="1" applyBorder="1" applyAlignment="1">
      <alignment horizontal="center" vertical="center"/>
    </xf>
    <xf numFmtId="166" fontId="12" fillId="0" borderId="4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6" fontId="18" fillId="0" borderId="8" xfId="0" applyNumberFormat="1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/>
    </xf>
    <xf numFmtId="166" fontId="18" fillId="0" borderId="2" xfId="0" applyNumberFormat="1" applyFont="1" applyBorder="1" applyAlignment="1">
      <alignment horizontal="center" vertical="center"/>
    </xf>
    <xf numFmtId="166" fontId="20" fillId="0" borderId="8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166" fontId="20" fillId="0" borderId="9" xfId="0" applyNumberFormat="1" applyFon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45" xfId="0" applyFont="1" applyBorder="1" applyAlignment="1">
      <alignment horizontal="center" vertical="center"/>
    </xf>
    <xf numFmtId="0" fontId="10" fillId="0" borderId="46" xfId="0" applyFont="1" applyBorder="1"/>
    <xf numFmtId="166" fontId="11" fillId="0" borderId="29" xfId="0" applyNumberFormat="1" applyFont="1" applyBorder="1" applyAlignment="1">
      <alignment horizontal="center" vertical="center"/>
    </xf>
    <xf numFmtId="4" fontId="13" fillId="0" borderId="29" xfId="0" applyNumberFormat="1" applyFont="1" applyBorder="1" applyAlignment="1">
      <alignment horizontal="center" vertical="center"/>
    </xf>
    <xf numFmtId="4" fontId="13" fillId="0" borderId="47" xfId="0" applyNumberFormat="1" applyFont="1" applyBorder="1" applyAlignment="1">
      <alignment horizontal="center" vertical="center"/>
    </xf>
    <xf numFmtId="4" fontId="12" fillId="0" borderId="46" xfId="0" applyNumberFormat="1" applyFont="1" applyBorder="1" applyAlignment="1">
      <alignment horizontal="center" vertical="center"/>
    </xf>
    <xf numFmtId="4" fontId="12" fillId="0" borderId="51" xfId="0" applyNumberFormat="1" applyFont="1" applyBorder="1" applyAlignment="1">
      <alignment horizontal="center" vertical="center"/>
    </xf>
    <xf numFmtId="4" fontId="12" fillId="0" borderId="32" xfId="0" applyNumberFormat="1" applyFont="1" applyBorder="1" applyAlignment="1">
      <alignment horizontal="center" vertical="center"/>
    </xf>
    <xf numFmtId="4" fontId="12" fillId="0" borderId="29" xfId="0" applyNumberFormat="1" applyFont="1" applyBorder="1" applyAlignment="1">
      <alignment horizontal="center" vertical="center"/>
    </xf>
    <xf numFmtId="166" fontId="12" fillId="0" borderId="48" xfId="0" applyNumberFormat="1" applyFont="1" applyBorder="1" applyAlignment="1">
      <alignment horizontal="center" vertical="center"/>
    </xf>
    <xf numFmtId="166" fontId="12" fillId="0" borderId="47" xfId="0" applyNumberFormat="1" applyFont="1" applyBorder="1" applyAlignment="1">
      <alignment horizontal="center" vertical="center"/>
    </xf>
    <xf numFmtId="4" fontId="16" fillId="0" borderId="29" xfId="0" applyNumberFormat="1" applyFont="1" applyBorder="1" applyAlignment="1">
      <alignment horizontal="center" vertical="center"/>
    </xf>
    <xf numFmtId="4" fontId="16" fillId="0" borderId="32" xfId="0" applyNumberFormat="1" applyFont="1" applyBorder="1" applyAlignment="1">
      <alignment horizontal="center" vertical="center"/>
    </xf>
    <xf numFmtId="166" fontId="17" fillId="0" borderId="46" xfId="0" applyNumberFormat="1" applyFont="1" applyBorder="1" applyAlignment="1">
      <alignment horizontal="center" vertical="center"/>
    </xf>
    <xf numFmtId="166" fontId="17" fillId="0" borderId="29" xfId="0" applyNumberFormat="1" applyFont="1" applyBorder="1" applyAlignment="1">
      <alignment horizontal="center" vertical="center"/>
    </xf>
    <xf numFmtId="166" fontId="17" fillId="0" borderId="47" xfId="0" applyNumberFormat="1" applyFont="1" applyBorder="1" applyAlignment="1">
      <alignment horizontal="center" vertical="center"/>
    </xf>
    <xf numFmtId="166" fontId="19" fillId="0" borderId="46" xfId="0" applyNumberFormat="1" applyFont="1" applyBorder="1" applyAlignment="1">
      <alignment horizontal="center" vertical="center"/>
    </xf>
    <xf numFmtId="166" fontId="19" fillId="0" borderId="29" xfId="0" applyNumberFormat="1" applyFont="1" applyBorder="1" applyAlignment="1">
      <alignment horizontal="center" vertical="center"/>
    </xf>
    <xf numFmtId="166" fontId="19" fillId="0" borderId="32" xfId="0" applyNumberFormat="1" applyFont="1" applyBorder="1" applyAlignment="1">
      <alignment horizontal="center" vertical="center"/>
    </xf>
    <xf numFmtId="166" fontId="2" fillId="0" borderId="46" xfId="0" applyNumberFormat="1" applyFont="1" applyBorder="1" applyAlignment="1">
      <alignment horizontal="center" vertical="center"/>
    </xf>
    <xf numFmtId="166" fontId="2" fillId="0" borderId="32" xfId="0" applyNumberFormat="1" applyFont="1" applyBorder="1" applyAlignment="1">
      <alignment horizontal="center" vertical="center"/>
    </xf>
    <xf numFmtId="0" fontId="0" fillId="0" borderId="8" xfId="0" applyBorder="1"/>
    <xf numFmtId="0" fontId="2" fillId="0" borderId="2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3" xfId="0" applyBorder="1"/>
    <xf numFmtId="0" fontId="0" fillId="0" borderId="2" xfId="0" applyBorder="1"/>
    <xf numFmtId="0" fontId="0" fillId="0" borderId="9" xfId="0" applyBorder="1"/>
    <xf numFmtId="0" fontId="0" fillId="0" borderId="0" xfId="0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left" vertical="center" wrapText="1"/>
      <protection locked="0"/>
    </xf>
    <xf numFmtId="166" fontId="0" fillId="0" borderId="4" xfId="0" applyNumberFormat="1" applyBorder="1" applyAlignment="1" applyProtection="1">
      <alignment horizontal="center" vertical="center"/>
      <protection locked="0"/>
    </xf>
    <xf numFmtId="0" fontId="0" fillId="0" borderId="45" xfId="0" applyBorder="1" applyAlignment="1" applyProtection="1">
      <alignment horizontal="left" vertical="center" wrapText="1"/>
      <protection locked="0"/>
    </xf>
    <xf numFmtId="0" fontId="12" fillId="6" borderId="21" xfId="0" applyFont="1" applyFill="1" applyBorder="1" applyAlignment="1" applyProtection="1">
      <alignment horizontal="center" vertical="center" wrapText="1"/>
      <protection locked="0"/>
    </xf>
    <xf numFmtId="0" fontId="13" fillId="0" borderId="46" xfId="0" applyFont="1" applyBorder="1" applyProtection="1">
      <protection locked="0"/>
    </xf>
    <xf numFmtId="0" fontId="0" fillId="0" borderId="8" xfId="0" applyBorder="1" applyProtection="1">
      <protection locked="0"/>
    </xf>
    <xf numFmtId="0" fontId="13" fillId="0" borderId="8" xfId="0" applyFont="1" applyBorder="1" applyAlignment="1">
      <alignment horizontal="center" vertical="center"/>
    </xf>
    <xf numFmtId="0" fontId="3" fillId="6" borderId="5" xfId="0" applyFont="1" applyFill="1" applyBorder="1" applyAlignment="1">
      <alignment vertical="center"/>
    </xf>
    <xf numFmtId="0" fontId="3" fillId="6" borderId="5" xfId="0" applyFont="1" applyFill="1" applyBorder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 vertical="center"/>
    </xf>
    <xf numFmtId="164" fontId="0" fillId="16" borderId="1" xfId="0" applyNumberFormat="1" applyFill="1" applyBorder="1" applyAlignment="1">
      <alignment horizontal="center" vertical="center"/>
    </xf>
    <xf numFmtId="0" fontId="0" fillId="0" borderId="0" xfId="0" applyAlignment="1" applyProtection="1">
      <alignment horizontal="left"/>
      <protection locked="0"/>
    </xf>
    <xf numFmtId="0" fontId="2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9" fillId="2" borderId="33" xfId="0" applyFont="1" applyFill="1" applyBorder="1" applyAlignment="1">
      <alignment horizontal="left" vertical="center"/>
    </xf>
    <xf numFmtId="0" fontId="9" fillId="2" borderId="13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 wrapText="1"/>
    </xf>
    <xf numFmtId="0" fontId="14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 applyProtection="1">
      <alignment horizontal="left" vertical="center"/>
      <protection locked="0"/>
    </xf>
    <xf numFmtId="0" fontId="15" fillId="2" borderId="13" xfId="0" applyFont="1" applyFill="1" applyBorder="1" applyAlignment="1" applyProtection="1">
      <alignment horizontal="center" vertical="center"/>
      <protection locked="0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165" fontId="0" fillId="13" borderId="1" xfId="0" applyNumberForma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3" borderId="0" xfId="0" applyFill="1"/>
    <xf numFmtId="166" fontId="0" fillId="0" borderId="29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" fontId="22" fillId="15" borderId="0" xfId="0" applyNumberFormat="1" applyFont="1" applyFill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13" borderId="1" xfId="0" applyFill="1" applyBorder="1" applyAlignment="1">
      <alignment horizontal="left" vertical="center"/>
    </xf>
    <xf numFmtId="0" fontId="0" fillId="13" borderId="28" xfId="0" applyFill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0" fillId="13" borderId="1" xfId="0" applyFill="1" applyBorder="1" applyAlignment="1">
      <alignment vertical="center"/>
    </xf>
    <xf numFmtId="0" fontId="2" fillId="13" borderId="4" xfId="0" applyFont="1" applyFill="1" applyBorder="1" applyAlignment="1">
      <alignment vertical="center"/>
    </xf>
    <xf numFmtId="0" fontId="0" fillId="13" borderId="4" xfId="0" applyFill="1" applyBorder="1" applyAlignment="1">
      <alignment vertical="center"/>
    </xf>
    <xf numFmtId="0" fontId="0" fillId="13" borderId="2" xfId="0" applyFill="1" applyBorder="1" applyAlignment="1">
      <alignment vertical="center"/>
    </xf>
    <xf numFmtId="0" fontId="0" fillId="14" borderId="0" xfId="0" applyFill="1" applyAlignment="1">
      <alignment horizontal="center" vertical="center"/>
    </xf>
    <xf numFmtId="0" fontId="24" fillId="6" borderId="5" xfId="0" applyFont="1" applyFill="1" applyBorder="1" applyAlignment="1" applyProtection="1">
      <alignment horizontal="left" vertical="center"/>
      <protection locked="0"/>
    </xf>
    <xf numFmtId="0" fontId="24" fillId="6" borderId="5" xfId="0" applyFont="1" applyFill="1" applyBorder="1" applyAlignment="1" applyProtection="1">
      <alignment horizontal="left" vertical="center" wrapText="1"/>
      <protection locked="0"/>
    </xf>
    <xf numFmtId="0" fontId="24" fillId="6" borderId="5" xfId="0" applyFont="1" applyFill="1" applyBorder="1" applyAlignment="1">
      <alignment horizontal="left" vertical="center"/>
    </xf>
    <xf numFmtId="0" fontId="24" fillId="6" borderId="5" xfId="0" applyFont="1" applyFill="1" applyBorder="1" applyAlignment="1">
      <alignment horizontal="left" vertical="center" wrapText="1"/>
    </xf>
    <xf numFmtId="0" fontId="25" fillId="0" borderId="4" xfId="0" applyFont="1" applyBorder="1" applyAlignment="1" applyProtection="1">
      <alignment horizontal="left" vertical="center"/>
      <protection locked="0"/>
    </xf>
    <xf numFmtId="0" fontId="25" fillId="0" borderId="4" xfId="0" applyFont="1" applyBorder="1" applyAlignment="1" applyProtection="1">
      <alignment horizontal="left" vertical="center" wrapText="1"/>
      <protection locked="0"/>
    </xf>
    <xf numFmtId="0" fontId="25" fillId="0" borderId="4" xfId="0" applyFont="1" applyBorder="1" applyAlignment="1">
      <alignment vertical="center"/>
    </xf>
    <xf numFmtId="0" fontId="25" fillId="13" borderId="4" xfId="0" applyFont="1" applyFill="1" applyBorder="1" applyAlignment="1" applyProtection="1">
      <alignment horizontal="left" vertical="center" wrapText="1"/>
      <protection locked="0"/>
    </xf>
    <xf numFmtId="167" fontId="25" fillId="0" borderId="4" xfId="0" applyNumberFormat="1" applyFont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 wrapText="1"/>
    </xf>
    <xf numFmtId="167" fontId="26" fillId="2" borderId="4" xfId="0" applyNumberFormat="1" applyFont="1" applyFill="1" applyBorder="1" applyAlignment="1">
      <alignment horizontal="left" vertical="center"/>
    </xf>
    <xf numFmtId="166" fontId="0" fillId="14" borderId="1" xfId="0" applyNumberFormat="1" applyFill="1" applyBorder="1" applyAlignment="1">
      <alignment horizontal="center" vertical="center"/>
    </xf>
    <xf numFmtId="164" fontId="27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/>
    <xf numFmtId="0" fontId="0" fillId="0" borderId="3" xfId="0" applyBorder="1" applyAlignment="1">
      <alignment vertical="center"/>
    </xf>
    <xf numFmtId="49" fontId="26" fillId="2" borderId="4" xfId="0" applyNumberFormat="1" applyFont="1" applyFill="1" applyBorder="1" applyAlignment="1">
      <alignment horizontal="left" vertical="center" wrapText="1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vertical="center" wrapText="1"/>
      <protection locked="0"/>
    </xf>
    <xf numFmtId="9" fontId="2" fillId="7" borderId="1" xfId="0" applyNumberFormat="1" applyFont="1" applyFill="1" applyBorder="1" applyAlignment="1">
      <alignment horizontal="center" vertical="center" wrapText="1"/>
    </xf>
    <xf numFmtId="0" fontId="0" fillId="13" borderId="1" xfId="0" applyFill="1" applyBorder="1"/>
    <xf numFmtId="0" fontId="0" fillId="14" borderId="1" xfId="0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10" fontId="26" fillId="2" borderId="4" xfId="0" applyNumberFormat="1" applyFont="1" applyFill="1" applyBorder="1" applyAlignment="1">
      <alignment horizontal="left" vertical="center"/>
    </xf>
    <xf numFmtId="166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8" fontId="0" fillId="13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13" borderId="1" xfId="0" applyNumberFormat="1" applyFill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8" fillId="0" borderId="1" xfId="0" applyFont="1" applyBorder="1" applyAlignment="1">
      <alignment horizontal="center" vertical="center"/>
    </xf>
    <xf numFmtId="3" fontId="0" fillId="0" borderId="0" xfId="0" applyNumberFormat="1" applyAlignment="1" applyProtection="1">
      <alignment vertical="center" wrapText="1"/>
      <protection locked="0"/>
    </xf>
    <xf numFmtId="0" fontId="2" fillId="0" borderId="6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 wrapText="1"/>
    </xf>
    <xf numFmtId="166" fontId="0" fillId="7" borderId="2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0" fontId="0" fillId="7" borderId="2" xfId="0" applyNumberFormat="1" applyFill="1" applyBorder="1" applyAlignment="1">
      <alignment horizontal="center" vertical="center"/>
    </xf>
    <xf numFmtId="10" fontId="0" fillId="7" borderId="3" xfId="0" applyNumberFormat="1" applyFill="1" applyBorder="1" applyAlignment="1">
      <alignment horizontal="center" vertical="center"/>
    </xf>
    <xf numFmtId="10" fontId="0" fillId="7" borderId="1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6" fontId="0" fillId="16" borderId="1" xfId="0" applyNumberForma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66" fontId="0" fillId="1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22" fillId="13" borderId="8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9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28" xfId="0" applyBorder="1" applyAlignment="1">
      <alignment vertical="center"/>
    </xf>
    <xf numFmtId="9" fontId="0" fillId="0" borderId="0" xfId="0" applyNumberFormat="1"/>
    <xf numFmtId="9" fontId="0" fillId="0" borderId="0" xfId="0" applyNumberFormat="1" applyAlignment="1">
      <alignment horizontal="center" vertical="center"/>
    </xf>
    <xf numFmtId="164" fontId="29" fillId="0" borderId="1" xfId="0" applyNumberFormat="1" applyFont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/>
    </xf>
    <xf numFmtId="166" fontId="2" fillId="0" borderId="4" xfId="0" applyNumberFormat="1" applyFont="1" applyBorder="1" applyAlignment="1" applyProtection="1">
      <alignment horizontal="center" vertical="center"/>
      <protection locked="0"/>
    </xf>
    <xf numFmtId="166" fontId="12" fillId="0" borderId="10" xfId="0" applyNumberFormat="1" applyFont="1" applyBorder="1" applyAlignment="1">
      <alignment horizontal="center" vertical="center"/>
    </xf>
    <xf numFmtId="166" fontId="12" fillId="0" borderId="11" xfId="0" applyNumberFormat="1" applyFont="1" applyBorder="1" applyAlignment="1">
      <alignment horizontal="center" vertical="center"/>
    </xf>
    <xf numFmtId="166" fontId="12" fillId="0" borderId="12" xfId="0" applyNumberFormat="1" applyFont="1" applyBorder="1" applyAlignment="1">
      <alignment horizontal="center" vertical="center"/>
    </xf>
    <xf numFmtId="0" fontId="16" fillId="6" borderId="37" xfId="0" applyFont="1" applyFill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4" fontId="16" fillId="0" borderId="48" xfId="0" applyNumberFormat="1" applyFont="1" applyBorder="1" applyAlignment="1">
      <alignment horizontal="center" vertical="center"/>
    </xf>
    <xf numFmtId="166" fontId="12" fillId="0" borderId="46" xfId="0" applyNumberFormat="1" applyFont="1" applyBorder="1" applyAlignment="1">
      <alignment horizontal="center" vertical="center"/>
    </xf>
    <xf numFmtId="166" fontId="12" fillId="0" borderId="32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49" xfId="0" applyFont="1" applyFill="1" applyBorder="1" applyAlignment="1">
      <alignment horizontal="center" vertical="center" wrapText="1"/>
    </xf>
    <xf numFmtId="0" fontId="4" fillId="2" borderId="50" xfId="0" applyFont="1" applyFill="1" applyBorder="1" applyAlignment="1">
      <alignment horizontal="center" vertical="center" wrapText="1"/>
    </xf>
    <xf numFmtId="0" fontId="4" fillId="7" borderId="33" xfId="0" applyFont="1" applyFill="1" applyBorder="1" applyAlignment="1">
      <alignment horizontal="center" vertical="center" wrapText="1"/>
    </xf>
    <xf numFmtId="0" fontId="4" fillId="7" borderId="34" xfId="0" applyFont="1" applyFill="1" applyBorder="1" applyAlignment="1">
      <alignment horizontal="center" vertical="center" wrapText="1"/>
    </xf>
    <xf numFmtId="0" fontId="4" fillId="7" borderId="35" xfId="0" applyFont="1" applyFill="1" applyBorder="1" applyAlignment="1">
      <alignment horizontal="center" vertical="center" wrapText="1"/>
    </xf>
    <xf numFmtId="0" fontId="4" fillId="8" borderId="33" xfId="0" applyFont="1" applyFill="1" applyBorder="1" applyAlignment="1">
      <alignment horizontal="center" vertical="center" wrapText="1"/>
    </xf>
    <xf numFmtId="0" fontId="4" fillId="8" borderId="34" xfId="0" applyFont="1" applyFill="1" applyBorder="1" applyAlignment="1">
      <alignment horizontal="center" vertical="center" wrapText="1"/>
    </xf>
    <xf numFmtId="0" fontId="4" fillId="8" borderId="35" xfId="0" applyFont="1" applyFill="1" applyBorder="1" applyAlignment="1">
      <alignment horizontal="center" vertical="center" wrapText="1"/>
    </xf>
    <xf numFmtId="0" fontId="4" fillId="9" borderId="33" xfId="0" applyFont="1" applyFill="1" applyBorder="1" applyAlignment="1">
      <alignment horizontal="center" vertical="center" wrapText="1"/>
    </xf>
    <xf numFmtId="0" fontId="4" fillId="9" borderId="34" xfId="0" applyFont="1" applyFill="1" applyBorder="1" applyAlignment="1">
      <alignment horizontal="center" vertical="center" wrapText="1"/>
    </xf>
    <xf numFmtId="0" fontId="4" fillId="9" borderId="35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2" fontId="22" fillId="15" borderId="30" xfId="0" applyNumberFormat="1" applyFont="1" applyFill="1" applyBorder="1" applyAlignment="1">
      <alignment horizontal="center" vertical="center" wrapText="1"/>
    </xf>
    <xf numFmtId="2" fontId="22" fillId="15" borderId="31" xfId="0" applyNumberFormat="1" applyFont="1" applyFill="1" applyBorder="1" applyAlignment="1">
      <alignment horizontal="center" vertical="center" wrapText="1"/>
    </xf>
    <xf numFmtId="2" fontId="22" fillId="15" borderId="32" xfId="0" applyNumberFormat="1" applyFont="1" applyFill="1" applyBorder="1" applyAlignment="1">
      <alignment horizontal="center" vertical="center" wrapText="1"/>
    </xf>
    <xf numFmtId="0" fontId="22" fillId="15" borderId="30" xfId="0" applyFont="1" applyFill="1" applyBorder="1" applyAlignment="1">
      <alignment horizontal="center" vertical="center" wrapText="1"/>
    </xf>
    <xf numFmtId="0" fontId="22" fillId="15" borderId="31" xfId="0" applyFont="1" applyFill="1" applyBorder="1" applyAlignment="1">
      <alignment horizontal="center" vertical="center" wrapText="1"/>
    </xf>
    <xf numFmtId="0" fontId="22" fillId="15" borderId="32" xfId="0" applyFont="1" applyFill="1" applyBorder="1" applyAlignment="1">
      <alignment horizontal="center" vertical="center" wrapText="1"/>
    </xf>
    <xf numFmtId="1" fontId="22" fillId="0" borderId="27" xfId="0" applyNumberFormat="1" applyFont="1" applyBorder="1" applyAlignment="1">
      <alignment horizontal="center" vertical="center"/>
    </xf>
    <xf numFmtId="1" fontId="22" fillId="0" borderId="28" xfId="0" applyNumberFormat="1" applyFont="1" applyBorder="1" applyAlignment="1">
      <alignment horizontal="center" vertical="center"/>
    </xf>
    <xf numFmtId="1" fontId="22" fillId="0" borderId="29" xfId="0" applyNumberFormat="1" applyFont="1" applyBorder="1" applyAlignment="1">
      <alignment horizontal="center" vertical="center"/>
    </xf>
    <xf numFmtId="1" fontId="22" fillId="15" borderId="27" xfId="0" applyNumberFormat="1" applyFont="1" applyFill="1" applyBorder="1" applyAlignment="1">
      <alignment horizontal="center" vertical="center"/>
    </xf>
    <xf numFmtId="1" fontId="22" fillId="15" borderId="28" xfId="0" applyNumberFormat="1" applyFont="1" applyFill="1" applyBorder="1" applyAlignment="1">
      <alignment horizontal="center" vertical="center"/>
    </xf>
    <xf numFmtId="1" fontId="22" fillId="15" borderId="29" xfId="0" applyNumberFormat="1" applyFont="1" applyFill="1" applyBorder="1" applyAlignment="1">
      <alignment horizontal="center" vertical="center"/>
    </xf>
    <xf numFmtId="1" fontId="22" fillId="15" borderId="30" xfId="0" applyNumberFormat="1" applyFont="1" applyFill="1" applyBorder="1" applyAlignment="1">
      <alignment horizontal="center" vertical="center"/>
    </xf>
    <xf numFmtId="1" fontId="22" fillId="15" borderId="31" xfId="0" applyNumberFormat="1" applyFont="1" applyFill="1" applyBorder="1" applyAlignment="1">
      <alignment horizontal="center" vertical="center"/>
    </xf>
    <xf numFmtId="1" fontId="22" fillId="15" borderId="32" xfId="0" applyNumberFormat="1" applyFont="1" applyFill="1" applyBorder="1" applyAlignment="1">
      <alignment horizontal="center" vertical="center"/>
    </xf>
    <xf numFmtId="0" fontId="21" fillId="11" borderId="33" xfId="0" applyFont="1" applyFill="1" applyBorder="1" applyAlignment="1">
      <alignment horizontal="center" vertical="center"/>
    </xf>
    <xf numFmtId="0" fontId="21" fillId="11" borderId="34" xfId="0" applyFont="1" applyFill="1" applyBorder="1" applyAlignment="1">
      <alignment horizontal="center" vertical="center"/>
    </xf>
    <xf numFmtId="0" fontId="21" fillId="11" borderId="35" xfId="0" applyFont="1" applyFill="1" applyBorder="1" applyAlignment="1">
      <alignment horizontal="center" vertical="center"/>
    </xf>
    <xf numFmtId="0" fontId="21" fillId="11" borderId="33" xfId="0" applyFont="1" applyFill="1" applyBorder="1" applyAlignment="1">
      <alignment horizontal="center" vertical="center" wrapText="1"/>
    </xf>
    <xf numFmtId="0" fontId="21" fillId="11" borderId="34" xfId="0" applyFont="1" applyFill="1" applyBorder="1" applyAlignment="1">
      <alignment horizontal="center" vertical="center" wrapText="1"/>
    </xf>
    <xf numFmtId="0" fontId="21" fillId="11" borderId="3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0" fillId="0" borderId="40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" fontId="0" fillId="0" borderId="43" xfId="0" applyNumberFormat="1" applyBorder="1" applyAlignment="1">
      <alignment horizontal="center" vertical="center"/>
    </xf>
    <xf numFmtId="166" fontId="0" fillId="0" borderId="40" xfId="0" applyNumberForma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6" fontId="0" fillId="0" borderId="23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166" fontId="2" fillId="14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" fillId="5" borderId="55" xfId="0" applyFont="1" applyFill="1" applyBorder="1" applyAlignment="1">
      <alignment horizontal="center" vertical="center"/>
    </xf>
    <xf numFmtId="0" fontId="2" fillId="5" borderId="56" xfId="0" applyFont="1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25" fillId="0" borderId="4" xfId="0" applyNumberFormat="1" applyFont="1" applyBorder="1" applyAlignment="1" applyProtection="1">
      <alignment vertical="center"/>
    </xf>
    <xf numFmtId="167" fontId="25" fillId="0" borderId="4" xfId="0" applyNumberFormat="1" applyFont="1" applyBorder="1" applyAlignment="1" applyProtection="1">
      <alignment horizontal="left" vertical="center"/>
    </xf>
    <xf numFmtId="0" fontId="0" fillId="0" borderId="4" xfId="0" applyBorder="1" applyAlignment="1" applyProtection="1">
      <alignment horizontal="center" vertical="center"/>
    </xf>
    <xf numFmtId="166" fontId="10" fillId="3" borderId="3" xfId="0" applyNumberFormat="1" applyFont="1" applyFill="1" applyBorder="1" applyAlignment="1" applyProtection="1">
      <alignment horizontal="center" vertical="center"/>
    </xf>
    <xf numFmtId="166" fontId="11" fillId="0" borderId="1" xfId="0" applyNumberFormat="1" applyFont="1" applyBorder="1" applyAlignment="1" applyProtection="1">
      <alignment horizontal="center" vertical="center"/>
    </xf>
    <xf numFmtId="166" fontId="11" fillId="0" borderId="2" xfId="0" applyNumberFormat="1" applyFont="1" applyBorder="1" applyAlignment="1" applyProtection="1">
      <alignment horizontal="center" vertical="center"/>
    </xf>
    <xf numFmtId="0" fontId="13" fillId="0" borderId="8" xfId="0" applyNumberFormat="1" applyFont="1" applyBorder="1" applyAlignment="1" applyProtection="1">
      <alignment horizontal="center" vertical="center"/>
    </xf>
    <xf numFmtId="0" fontId="12" fillId="0" borderId="1" xfId="0" applyFont="1" applyBorder="1" applyAlignment="1" applyProtection="1">
      <alignment horizontal="center" vertical="center"/>
    </xf>
    <xf numFmtId="166" fontId="12" fillId="0" borderId="1" xfId="0" applyNumberFormat="1" applyFont="1" applyBorder="1" applyAlignment="1" applyProtection="1">
      <alignment horizontal="center" vertical="center"/>
    </xf>
    <xf numFmtId="166" fontId="12" fillId="0" borderId="2" xfId="0" applyNumberFormat="1" applyFont="1" applyBorder="1" applyAlignment="1" applyProtection="1">
      <alignment horizontal="center" vertical="center"/>
    </xf>
    <xf numFmtId="166" fontId="12" fillId="0" borderId="8" xfId="0" applyNumberFormat="1" applyFont="1" applyBorder="1" applyAlignment="1" applyProtection="1">
      <alignment horizontal="center" vertical="center"/>
    </xf>
    <xf numFmtId="166" fontId="12" fillId="0" borderId="4" xfId="0" applyNumberFormat="1" applyFont="1" applyBorder="1" applyAlignment="1" applyProtection="1">
      <alignment horizontal="center" vertical="center"/>
    </xf>
    <xf numFmtId="166" fontId="12" fillId="0" borderId="9" xfId="0" applyNumberFormat="1" applyFont="1" applyBorder="1" applyAlignment="1" applyProtection="1">
      <alignment horizontal="center" vertical="center"/>
    </xf>
    <xf numFmtId="0" fontId="16" fillId="0" borderId="28" xfId="0" applyFont="1" applyBorder="1" applyAlignment="1" applyProtection="1">
      <alignment horizontal="center" vertical="center"/>
    </xf>
    <xf numFmtId="0" fontId="16" fillId="0" borderId="52" xfId="0" applyFont="1" applyBorder="1" applyAlignment="1" applyProtection="1">
      <alignment horizontal="center" vertical="center"/>
    </xf>
    <xf numFmtId="166" fontId="18" fillId="0" borderId="8" xfId="0" applyNumberFormat="1" applyFont="1" applyBorder="1" applyAlignment="1" applyProtection="1">
      <alignment horizontal="center" vertical="center"/>
    </xf>
    <xf numFmtId="166" fontId="18" fillId="0" borderId="1" xfId="0" applyNumberFormat="1" applyFont="1" applyBorder="1" applyAlignment="1" applyProtection="1">
      <alignment horizontal="center" vertical="center"/>
    </xf>
    <xf numFmtId="166" fontId="18" fillId="0" borderId="2" xfId="0" applyNumberFormat="1" applyFont="1" applyBorder="1" applyAlignment="1" applyProtection="1">
      <alignment horizontal="center" vertical="center"/>
    </xf>
    <xf numFmtId="166" fontId="20" fillId="0" borderId="8" xfId="0" applyNumberFormat="1" applyFont="1" applyBorder="1" applyAlignment="1" applyProtection="1">
      <alignment horizontal="center" vertical="center"/>
    </xf>
    <xf numFmtId="166" fontId="20" fillId="0" borderId="1" xfId="0" applyNumberFormat="1" applyFont="1" applyBorder="1" applyAlignment="1" applyProtection="1">
      <alignment horizontal="center" vertical="center"/>
    </xf>
    <xf numFmtId="166" fontId="20" fillId="0" borderId="9" xfId="0" applyNumberFormat="1" applyFont="1" applyBorder="1" applyAlignment="1" applyProtection="1">
      <alignment horizontal="center" vertical="center"/>
    </xf>
    <xf numFmtId="166" fontId="0" fillId="0" borderId="8" xfId="0" applyNumberFormat="1" applyFont="1" applyBorder="1" applyAlignment="1" applyProtection="1">
      <alignment horizontal="center" vertical="center"/>
    </xf>
    <xf numFmtId="166" fontId="0" fillId="0" borderId="9" xfId="0" applyNumberFormat="1" applyFont="1" applyBorder="1" applyAlignment="1" applyProtection="1">
      <alignment horizontal="center" vertical="center"/>
    </xf>
    <xf numFmtId="0" fontId="25" fillId="0" borderId="4" xfId="0" applyFont="1" applyFill="1" applyBorder="1" applyAlignment="1" applyProtection="1">
      <alignment horizontal="left" vertical="center" wrapText="1"/>
      <protection locked="0"/>
    </xf>
    <xf numFmtId="0" fontId="25" fillId="0" borderId="4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10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0.59999389629810485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0.59999389629810485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0.59999389629810485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0.59999389629810485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8" tint="-0.249977111117893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9" tint="-0.249977111117893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9" tint="-0.249977111117893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9" tint="-0.249977111117893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9" tint="-0.249977111117893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9" tint="-0.249977111117893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SAR]\ #,##0.0"/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rgb="FF7030A0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rgb="FF7030A0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rgb="FF7030A0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rgb="FF7030A0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theme="5" tint="0.59999389629810485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theme="5" tint="0.59999389629810485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theme="5" tint="0.59999389629810485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theme="5" tint="0.59999389629810485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9" tint="0.3999755851924192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9" tint="0.3999755851924192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9" tint="0.3999755851924192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9" tint="0.3999755851924192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9" tint="0.3999755851924192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9" tint="0.3999755851924192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numFmt numFmtId="166" formatCode="[$SAR]\ #,##0.00"/>
      <alignment horizontal="center" vertical="center" textRotation="0" wrapText="0" indent="0" justifyLastLine="0" shrinkToFit="0" readingOrder="0"/>
      <border diagonalUp="0" diagonalDown="0" outline="0">
        <left/>
        <top style="thin">
          <color indexed="64"/>
        </top>
        <bottom style="thin">
          <color indexed="64"/>
        </bottom>
      </border>
      <protection locked="1" hidden="0"/>
    </dxf>
    <dxf>
      <alignment horizontal="center" vertical="center" textRotation="0" wrapText="0" indent="0" justifyLastLine="0" shrinkToFit="0" readingOrder="0"/>
      <border diagonalUp="0" diagonalDown="0">
        <top style="thin">
          <color indexed="64"/>
        </top>
        <bottom style="thin">
          <color indexed="64"/>
        </bottom>
        <horizontal style="thin">
          <color indexed="64"/>
        </horizontal>
      </border>
      <protection locked="1" hidden="0"/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7" formatCode="[$SAR]\ #,##0.0"/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7" formatCode="[$SAR]\ #,##0.0"/>
      <alignment horizontal="left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family val="2"/>
      </font>
      <fill>
        <patternFill patternType="solid">
          <fgColor indexed="64"/>
          <bgColor theme="0" tint="-0.14999847407452621"/>
        </patternFill>
      </fill>
      <protection locked="1" hidden="0"/>
    </dxf>
    <dxf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left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D106A6-ED68-47CF-9DD9-17605D3350C4}" name="Pricing_Sheet" displayName="Pricing_Sheet" ref="A1:AV21" totalsRowCount="1" headerRowDxfId="103" dataDxfId="102" totalsRowDxfId="101">
  <autoFilter ref="A1:AV20" xr:uid="{61D106A6-ED68-47CF-9DD9-17605D3350C4}"/>
  <tableColumns count="48">
    <tableColumn id="1" xr3:uid="{ED3EFFEF-853A-47CA-B10B-0494BAA33B15}" name="S.N" dataDxfId="100" totalsRowDxfId="47"/>
    <tableColumn id="2" xr3:uid="{7B142D09-998F-4073-A9F6-74681A8A076D}" name="ITEM" dataDxfId="99" totalsRowDxfId="46"/>
    <tableColumn id="3" xr3:uid="{E4A6F4EB-3E7B-47AD-97E8-D49EF01E60E1}" name="ITEM DESCRIPTION" totalsRowLabel="Total Excluding VAT" dataDxfId="98" totalsRowDxfId="45"/>
    <tableColumn id="4" xr3:uid="{32219602-18CE-4BE6-8180-359765594880}" name="CAPACITY" dataDxfId="97" totalsRowDxfId="44"/>
    <tableColumn id="5" xr3:uid="{8490E318-4D2A-4AAF-9A27-5989F64ECD1D}" name="SIZE" dataDxfId="96" totalsRowDxfId="43"/>
    <tableColumn id="6" xr3:uid="{99D15F7A-2B84-498B-BC98-E2CCF8FBD5D9}" name="QTY" dataDxfId="95" totalsRowDxfId="42"/>
    <tableColumn id="57" xr3:uid="{E0CCCF86-CE80-4C62-8D05-CC3F296415FA}" name="Unit" dataDxfId="94" totalsRowDxfId="41">
      <calculatedColumnFormula>_xlfn.IFNA(VLOOKUP(Pricing_Sheet[[#This Row],[ITEM]],Data!$A$2:$B$100,2,FALSE),"-")</calculatedColumnFormula>
    </tableColumn>
    <tableColumn id="8" xr3:uid="{8BFB5344-91C5-46BE-B19F-BBD9A832B4AB}" name="BRAND" dataDxfId="93" totalsRowDxfId="40"/>
    <tableColumn id="11" xr3:uid="{203AB603-CCF9-4BE7-A3A3-64239A03D250}" name="Remarks" dataDxfId="92" totalsRowDxfId="39"/>
    <tableColumn id="42" xr3:uid="{5630D687-95B2-4B1E-BC3D-459D74FA4004}" name="UNIT PRICE " dataDxfId="91" totalsRowDxfId="38">
      <calculatedColumnFormula>_xlfn.IFNA(IF(M2='Price List'!$B$266,$AT$22,IF(M2='Price List'!$B$265,$AP$22,IF(AND(M2='Price List'!$B$267,$L$2=Data!$C$47),'Pricing Sheet'!$AF$22,IF(AND(M2='Price List'!$B$267,$L$2=Data!$C$48),$AE$22,IF(M2='Price List'!$B$269,'Pricing Sheet'!$AH$22,IF(M2='Price List'!$B$268,'Pricing Sheet'!$AJ$22,VLOOKUP(M2,'Price List'!$B$2:$Y$9827,24,FALSE))))))),0)</calculatedColumnFormula>
    </tableColumn>
    <tableColumn id="55" xr3:uid="{AC59BF1D-C2FC-4CB9-8FE6-33D455359F37}" name="TOTAL PRICE " totalsRowFunction="sum" dataDxfId="90" totalsRowDxfId="37">
      <calculatedColumnFormula>Pricing_Sheet[[#This Row],[UNIT PRICE ]]*Pricing_Sheet[[#This Row],[QTY]]</calculatedColumnFormula>
    </tableColumn>
    <tableColumn id="15" xr3:uid="{3C44BEC4-1D19-4C7A-A03E-4709AD6ADD1B}" name="Location" dataDxfId="89" totalsRowDxfId="36"/>
    <tableColumn id="16" xr3:uid="{D974FB1F-C2F7-4FA3-83B9-6BA5887D842D}" name="Full Description" dataDxfId="88" totalsRowDxfId="35">
      <calculatedColumnFormula>B2&amp;" "&amp;C2&amp;" "&amp;D2&amp;" "&amp;E2&amp;" "&amp;H2</calculatedColumnFormula>
    </tableColumn>
    <tableColumn id="17" xr3:uid="{90FA8FDE-31BE-4F42-81E4-3618F88C896E}" name="Material Unit Dry Cost" dataDxfId="87" totalsRowDxfId="34">
      <calculatedColumnFormula>IF(ISNA(VLOOKUP(M2,'Price List'!$B$2:$Y$9827,18,FALSE)),0,VLOOKUP(M2,'Price List'!$B$2:$Y$9827,18,FALSE))</calculatedColumnFormula>
    </tableColumn>
    <tableColumn id="18" xr3:uid="{46768F9E-2A69-4768-A7E0-0066D285BD43}" name="Material Dry Cost" dataDxfId="86" totalsRowDxfId="33">
      <calculatedColumnFormula>IF(N2=0,0,N2*Pricing_Sheet[[#This Row],[QTY]])</calculatedColumnFormula>
    </tableColumn>
    <tableColumn id="59" xr3:uid="{1C3DC946-9CE0-48CF-9292-FFD2A8AED753}" name="Material OH/Risk2" dataDxfId="85" totalsRowDxfId="32">
      <calculatedColumnFormula>IF(ISNA(VLOOKUP(M2,'Price List'!$B$2:$Y$9827,19,FALSE)*Pricing_Sheet[[#This Row],[QTY]]+VLOOKUP(M2,'Price List'!$B$2:$Y$9827,20,FALSE)*Pricing_Sheet[[#This Row],[QTY]]),0,VLOOKUP(M2,'Price List'!$B$2:$Y$9827,19,FALSE)*Pricing_Sheet[[#This Row],[QTY]]+VLOOKUP(M2,'Price List'!$B$2:$Y$9827,20,FALSE)*Pricing_Sheet[[#This Row],[QTY]])</calculatedColumnFormula>
    </tableColumn>
    <tableColumn id="20" xr3:uid="{49D82B89-FE60-4D29-B9A3-32590186DD28}" name="Material Profit" dataDxfId="84" totalsRowDxfId="31">
      <calculatedColumnFormula>IF(ISNA(VLOOKUP(M2,'Price List'!$B$2:$Y$9827,21,FALSE)),0,VLOOKUP(M2,'Price List'!$B$2:$Y$9827,21,FALSE)*Pricing_Sheet[[#This Row],[QTY]])</calculatedColumnFormula>
    </tableColumn>
    <tableColumn id="56" xr3:uid="{95D03281-640B-45F9-AEC9-72AA8E30E17A}" name="Material Selling Price" dataDxfId="83" totalsRowDxfId="30">
      <calculatedColumnFormula>IF(N2=0,0,Pricing_Sheet[[#This Row],[UNIT PRICE ]])</calculatedColumnFormula>
    </tableColumn>
    <tableColumn id="58" xr3:uid="{9F37EC8D-B760-4D89-B405-214B75E312D8}" name="Material Total Selling Price" dataDxfId="82" totalsRowDxfId="29">
      <calculatedColumnFormula>IF(R2=0,0,R2*Pricing_Sheet[[#This Row],[QTY]])</calculatedColumnFormula>
    </tableColumn>
    <tableColumn id="23" xr3:uid="{05FE2B62-0014-4B75-B48C-F6D83C113555}" name="Unit Manhour" dataDxfId="81" totalsRowDxfId="28">
      <calculatedColumnFormula>IF(Pricing_Sheet[[#This Row],[Full Description]]='Price List'!$B$265,Electrical!$AA$27,IF(Pricing_Sheet[[#This Row],[Full Description]]='Price List'!$B$266,ATG!$S$2,IF(ISNA(VLOOKUP(M2,'Price List'!$B$2:$Z$9827,21,FALSE)),0,VLOOKUP(M2,'Price List'!$B$2:$Z$9827,25,FALSE))))</calculatedColumnFormula>
    </tableColumn>
    <tableColumn id="24" xr3:uid="{D8DCC6E0-A806-45EE-996E-FD5021C04D1F}" name="Total Manhour" totalsRowLabel="Total Manhour" dataDxfId="80" totalsRowDxfId="27">
      <calculatedColumnFormula>IFERROR(T2*Pricing_Sheet[[#This Row],[QTY]],0)</calculatedColumnFormula>
    </tableColumn>
    <tableColumn id="25" xr3:uid="{67BD312A-EF2C-498D-A335-7CCBD7CA6016}" name="Manpower Cost _x000a_(Outside Riyadh)" totalsRowLabel="Manpower Cost _x000a_(Outside Riyadh)" dataDxfId="79" totalsRowDxfId="26"/>
    <tableColumn id="26" xr3:uid="{720013BB-359C-4E1D-B8D1-5F474B1F129D}" name="Manpower Cost_x000a_(Inside Riyadh)" totalsRowLabel="Manpower Cost_x000a_(Inside Riyadh)" dataDxfId="78" totalsRowDxfId="25"/>
    <tableColumn id="27" xr3:uid="{172DEF4E-E3A5-4339-B712-4BAC72752CCE}" name="Project Period_x000a_(Weeks)" totalsRowLabel="Project Period_x000a_(Weeks)" dataDxfId="77" totalsRowDxfId="24"/>
    <tableColumn id="32" xr3:uid="{407BFD92-1FE5-4C45-9409-13F10A1A4870}" name="Installation Dry Cost_x000a_(Outside Riyadh)" totalsRowLabel="Installation Dry Cost_x000a_(Outside Riyadh)" dataDxfId="76" totalsRowDxfId="23"/>
    <tableColumn id="33" xr3:uid="{6C02BF15-C685-4194-BBFF-81B4F2F80E8A}" name="Installation Overhead_x000a_(Outside Riyadh)" totalsRowLabel="Installation Overhead &amp; Risk_x000a_(Outside Riyadh)" dataDxfId="75" totalsRowDxfId="22"/>
    <tableColumn id="34" xr3:uid="{0D043CB3-F71B-45AD-BFB2-F8105547A0BA}" name="Installation Net Profit_x000a_(Outside Riyadh)" totalsRowLabel="Installation Net Profit_x000a_(Outside Riyadh)" dataDxfId="74" totalsRowDxfId="21"/>
    <tableColumn id="35" xr3:uid="{E2D76F95-A7AD-44AF-A1E1-CADD5A0569E9}" name="Installation Dry Cost_x000a_(Inside Riyadh)" totalsRowLabel="Installation Dry Cost_x000a_(Inside Riyadh)" dataDxfId="73" totalsRowDxfId="20"/>
    <tableColumn id="36" xr3:uid="{971338AB-119F-44ED-9AD9-7FB13541954B}" name="Installation Overhead &amp; Risk_x000a_(Inside Riyadh)" totalsRowLabel="Installation Overhead &amp; Risk_x000a_(Inside Riyadh)" dataDxfId="72" totalsRowDxfId="19"/>
    <tableColumn id="37" xr3:uid="{5ABFDADC-3CEE-41F3-BB74-FFF46B9094C6}" name="Installation Profit_x000a_(Inside Riyadh)" totalsRowLabel="Installation Profit_x000a_(Inside Riyadh)" dataDxfId="71" totalsRowDxfId="18"/>
    <tableColumn id="38" xr3:uid="{C2C2DC9B-2872-4D01-89CA-5617B6F95626}" name="Installation Price_x000a_(Outside Riyadh)" totalsRowLabel="Installation Price_x000a_(Outside Riyadh)" dataDxfId="70" totalsRowDxfId="17"/>
    <tableColumn id="39" xr3:uid="{9A85B521-E3B2-4079-A57D-8E352EBECA5B}" name="Installation Price_x000a_(Inside Riyadh)" totalsRowLabel="Installation Price_x000a_(Inside Riyadh)" dataDxfId="69" totalsRowDxfId="16"/>
    <tableColumn id="43" xr3:uid="{902798C8-C404-430B-A932-441F8E92503C}" name="Transportation Cost_x000a_(Riyadh)" totalsRowLabel="Transportation Cost_x000a_(Riyadh)" dataDxfId="68" totalsRowDxfId="15">
      <calculatedColumnFormula>IF(M2='Price List'!$B$269,1,0)</calculatedColumnFormula>
    </tableColumn>
    <tableColumn id="44" xr3:uid="{00D36EF3-C958-4FD7-A2F5-E23127130A31}" name="Transportation Price_x000a_(Riyadh)" totalsRowLabel="Transportation Price_x000a_(Riyadh)" dataDxfId="67" totalsRowDxfId="14"/>
    <tableColumn id="45" xr3:uid="{A7C4A82E-92E4-45DE-B814-5E2393FBDCB0}" name="Transportation Cost_x000a_(Outside Riyadh)" totalsRowLabel="Transportation Cost_x000a_(Outside Riyadh)" dataDxfId="66" totalsRowDxfId="13">
      <calculatedColumnFormula>IF(M2='Price List'!$B$268,1,0)</calculatedColumnFormula>
    </tableColumn>
    <tableColumn id="46" xr3:uid="{BE5831CE-CED8-4E5D-872E-9938163163DF}" name="Transportation Price_x000a_(Outside Riyadh)" totalsRowLabel="Transportation Price_x000a_(Outside Riyadh)" dataDxfId="65" totalsRowDxfId="12"/>
    <tableColumn id="47" xr3:uid="{849EDA75-43E0-4E07-B187-6CF854F0F639}" name="Transportation Cost" totalsRowLabel="Transportation Cost" dataDxfId="64" totalsRowDxfId="11"/>
    <tableColumn id="48" xr3:uid="{1E67C4E4-FD16-46CB-9AA2-E2ED9EE51FA0}" name="Transportation Price" totalsRowLabel="Transportation Price" dataDxfId="63" totalsRowDxfId="10"/>
    <tableColumn id="49" xr3:uid="{76596606-AAF5-42C1-8258-502904561270}" name="Electrical Dry Cost" totalsRowLabel="Electrical Dry Cost" dataDxfId="62" totalsRowDxfId="9"/>
    <tableColumn id="50" xr3:uid="{ACA6404D-1285-4898-B27E-30ABD795FA44}" name="Electrical OH/Risk" totalsRowLabel="Electrical OH/Risk" dataDxfId="61" totalsRowDxfId="8"/>
    <tableColumn id="51" xr3:uid="{5EB89811-CAB6-41B1-81D7-9F0F9F41BC53}" name="Electrical Profit" totalsRowLabel="Electrical Profit" dataDxfId="60" totalsRowDxfId="7"/>
    <tableColumn id="52" xr3:uid="{2EF2081E-400F-45B7-BFA1-20DE47B00DD5}" name="Electrical Price" totalsRowLabel="Electrical Price" dataDxfId="59" totalsRowDxfId="6"/>
    <tableColumn id="9" xr3:uid="{1EFDCA62-7967-4B6E-8F0A-5361EF010EBB}" name="ATG Dry Cost" totalsRowLabel="ATG Dry Cost" dataDxfId="58" totalsRowDxfId="5"/>
    <tableColumn id="12" xr3:uid="{E4B0AC98-F849-46A8-B040-5E7C994B6D60}" name="ATG OH/Risk" totalsRowLabel="ATG OH/Risk" dataDxfId="57" totalsRowDxfId="4"/>
    <tableColumn id="10" xr3:uid="{6B4C01DF-8D57-4BEE-BF49-CA4AD3D1DA5A}" name="ATG Profit" totalsRowLabel="ATG Profit" dataDxfId="56" totalsRowDxfId="3"/>
    <tableColumn id="7" xr3:uid="{54FFACB3-8B68-4F70-A62B-205952A0C3B8}" name="ATG Price" totalsRowLabel="ATG Price" dataDxfId="55" totalsRowDxfId="2"/>
    <tableColumn id="53" xr3:uid="{FF2D4DD4-9583-4967-8960-28A1F38DFD71}" name="Total Cost_x000a_(Inc. OH/Risk)" totalsRowLabel="Total Cost_x000a_(Inc. OH/Risk)" dataDxfId="54" totalsRowDxfId="1"/>
    <tableColumn id="54" xr3:uid="{039A5624-7F9D-49CD-8F80-3076A6500718}" name="Total Selling Price" totalsRowLabel="Total Selling Price" dataDxfId="53" totals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61A46-582A-4F39-8BA5-8976CE971B5C}">
  <dimension ref="A1:Z86"/>
  <sheetViews>
    <sheetView topLeftCell="B2" zoomScale="70" zoomScaleNormal="70" workbookViewId="0">
      <selection activeCell="D7" sqref="D7"/>
    </sheetView>
  </sheetViews>
  <sheetFormatPr defaultRowHeight="15" x14ac:dyDescent="0.25"/>
  <cols>
    <col min="1" max="1" width="5.85546875" style="1" customWidth="1"/>
    <col min="2" max="2" width="15.42578125" style="13" customWidth="1"/>
    <col min="3" max="3" width="15" style="13" customWidth="1"/>
    <col min="4" max="4" width="18.28515625" style="13" customWidth="1"/>
    <col min="5" max="5" width="13.140625" style="13" customWidth="1"/>
    <col min="6" max="6" width="13.85546875" style="13" customWidth="1"/>
    <col min="7" max="7" width="19.85546875" style="13" customWidth="1"/>
    <col min="8" max="8" width="26.5703125" style="13" customWidth="1"/>
    <col min="9" max="9" width="23.28515625" style="13" customWidth="1"/>
    <col min="10" max="11" width="13.85546875" style="13" customWidth="1"/>
    <col min="12" max="13" width="16.5703125" style="13" customWidth="1"/>
    <col min="14" max="14" width="13.85546875" style="13" customWidth="1"/>
    <col min="15" max="15" width="15.140625" customWidth="1"/>
    <col min="16" max="17" width="18.42578125" customWidth="1"/>
    <col min="18" max="18" width="12.5703125" customWidth="1"/>
    <col min="19" max="22" width="12.7109375" customWidth="1"/>
    <col min="23" max="24" width="18.28515625" customWidth="1"/>
    <col min="26" max="26" width="9.140625" hidden="1" customWidth="1"/>
  </cols>
  <sheetData>
    <row r="1" spans="1:26" ht="40.5" customHeight="1" thickBot="1" x14ac:dyDescent="0.3">
      <c r="A1" s="338" t="s">
        <v>334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40"/>
    </row>
    <row r="2" spans="1:26" ht="37.5" customHeight="1" thickBot="1" x14ac:dyDescent="0.3">
      <c r="A2" s="65"/>
      <c r="B2" s="341" t="s">
        <v>352</v>
      </c>
      <c r="C2" s="342"/>
      <c r="D2" s="342"/>
      <c r="E2" s="343"/>
      <c r="F2" s="341" t="s">
        <v>353</v>
      </c>
      <c r="G2" s="342"/>
      <c r="H2" s="342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3"/>
    </row>
    <row r="3" spans="1:26" ht="55.5" customHeight="1" thickBot="1" x14ac:dyDescent="0.3">
      <c r="A3" s="66"/>
      <c r="B3" s="311" t="s">
        <v>357</v>
      </c>
      <c r="C3" s="312"/>
      <c r="D3" s="312"/>
      <c r="E3" s="313"/>
      <c r="F3" s="67" t="s">
        <v>335</v>
      </c>
      <c r="G3" s="314" t="s">
        <v>355</v>
      </c>
      <c r="H3" s="315"/>
      <c r="I3" s="315"/>
      <c r="J3" s="316"/>
      <c r="K3" s="317" t="s">
        <v>356</v>
      </c>
      <c r="L3" s="318"/>
      <c r="M3" s="318"/>
      <c r="N3" s="319"/>
      <c r="O3" s="320" t="s">
        <v>333</v>
      </c>
      <c r="P3" s="321"/>
      <c r="Q3" s="321"/>
      <c r="R3" s="321"/>
      <c r="S3" s="321"/>
      <c r="T3" s="321"/>
      <c r="U3" s="321"/>
      <c r="V3" s="321"/>
      <c r="W3" s="321"/>
      <c r="X3" s="322"/>
    </row>
    <row r="4" spans="1:26" ht="99.75" customHeight="1" thickBot="1" x14ac:dyDescent="0.3">
      <c r="A4" s="68" t="s">
        <v>330</v>
      </c>
      <c r="B4" s="69" t="s">
        <v>331</v>
      </c>
      <c r="C4" s="70" t="s">
        <v>336</v>
      </c>
      <c r="D4" s="70" t="s">
        <v>337</v>
      </c>
      <c r="E4" s="71" t="s">
        <v>338</v>
      </c>
      <c r="F4" s="72" t="s">
        <v>331</v>
      </c>
      <c r="G4" s="73" t="s">
        <v>339</v>
      </c>
      <c r="H4" s="74" t="s">
        <v>366</v>
      </c>
      <c r="I4" s="74" t="s">
        <v>365</v>
      </c>
      <c r="J4" s="75" t="s">
        <v>341</v>
      </c>
      <c r="K4" s="76" t="s">
        <v>363</v>
      </c>
      <c r="L4" s="77" t="s">
        <v>340</v>
      </c>
      <c r="M4" s="78" t="s">
        <v>516</v>
      </c>
      <c r="N4" s="79" t="s">
        <v>332</v>
      </c>
      <c r="O4" s="80" t="s">
        <v>359</v>
      </c>
      <c r="P4" s="309" t="s">
        <v>361</v>
      </c>
      <c r="Q4" s="310"/>
      <c r="R4" s="81" t="s">
        <v>358</v>
      </c>
      <c r="S4" s="81" t="s">
        <v>349</v>
      </c>
      <c r="T4" s="81" t="s">
        <v>349</v>
      </c>
      <c r="U4" s="81" t="s">
        <v>349</v>
      </c>
      <c r="V4" s="81" t="s">
        <v>349</v>
      </c>
      <c r="W4" s="81" t="s">
        <v>360</v>
      </c>
      <c r="X4" s="82" t="s">
        <v>362</v>
      </c>
    </row>
    <row r="5" spans="1:26" ht="30" customHeight="1" x14ac:dyDescent="0.25">
      <c r="A5" s="83" t="s">
        <v>348</v>
      </c>
      <c r="B5" s="84" t="s">
        <v>342</v>
      </c>
      <c r="C5" s="85" t="s">
        <v>344</v>
      </c>
      <c r="D5" s="85" t="s">
        <v>345</v>
      </c>
      <c r="E5" s="86" t="s">
        <v>346</v>
      </c>
      <c r="F5" s="87" t="s">
        <v>343</v>
      </c>
      <c r="G5" s="88" t="s">
        <v>347</v>
      </c>
      <c r="H5" s="89" t="s">
        <v>347</v>
      </c>
      <c r="I5" s="89" t="s">
        <v>347</v>
      </c>
      <c r="J5" s="90" t="s">
        <v>347</v>
      </c>
      <c r="K5" s="88" t="s">
        <v>354</v>
      </c>
      <c r="L5" s="89" t="s">
        <v>354</v>
      </c>
      <c r="M5" s="89" t="s">
        <v>354</v>
      </c>
      <c r="N5" s="90" t="s">
        <v>354</v>
      </c>
      <c r="O5" s="88" t="s">
        <v>350</v>
      </c>
      <c r="P5" s="89" t="s">
        <v>350</v>
      </c>
      <c r="Q5" s="89" t="s">
        <v>351</v>
      </c>
      <c r="R5" s="89" t="s">
        <v>344</v>
      </c>
      <c r="S5" s="89" t="s">
        <v>350</v>
      </c>
      <c r="T5" s="89" t="s">
        <v>351</v>
      </c>
      <c r="U5" s="89" t="s">
        <v>350</v>
      </c>
      <c r="V5" s="89" t="s">
        <v>351</v>
      </c>
      <c r="W5" s="89" t="s">
        <v>350</v>
      </c>
      <c r="X5" s="90" t="s">
        <v>351</v>
      </c>
    </row>
    <row r="6" spans="1:26" ht="30" customHeight="1" x14ac:dyDescent="0.25">
      <c r="A6" s="91">
        <v>1</v>
      </c>
      <c r="B6" s="287">
        <v>3000</v>
      </c>
      <c r="C6" s="288">
        <v>1</v>
      </c>
      <c r="D6" s="288">
        <v>8</v>
      </c>
      <c r="E6" s="289">
        <v>3</v>
      </c>
      <c r="F6" s="95">
        <f t="shared" ref="F6:F17" si="0">B6*0.8</f>
        <v>2400</v>
      </c>
      <c r="G6" s="96">
        <f t="shared" ref="G6:G17" si="1">F6*0.07/60</f>
        <v>2.8000000000000003</v>
      </c>
      <c r="H6" s="97">
        <f>G6*4</f>
        <v>11.200000000000001</v>
      </c>
      <c r="I6" s="97">
        <f>H6*C6</f>
        <v>11.200000000000001</v>
      </c>
      <c r="J6" s="323">
        <f>SUM(I6:I17)</f>
        <v>18.666666666666668</v>
      </c>
      <c r="K6" s="109">
        <f>IF(AND(G6&gt;0,G6&lt;=5),25,IF(AND(G6&gt;5,G6&lt;=10),32,IF(AND(G6&gt;10,G6&lt;=15),40,IF(AND(G6&gt;15,G6&lt;=30),50,IF(AND(G6&gt;30,G6&lt;=50),65,IF(AND(G6&gt;50,G6&lt;=90),80,IF(AND(G6&gt;90,G6&lt;=190),100,IF(AND(G6&gt;190,G6&lt;=550),150,0))))))))</f>
        <v>25</v>
      </c>
      <c r="L6" s="110">
        <f>IF(AND(H6&gt;0,H6&lt;=5),25,IF(AND(H6&gt;5,H6&lt;=10),32,IF(AND(H6&gt;10,H6&lt;=15),40,IF(AND(H6&gt;15,H6&lt;=30),50,IF(AND(H6&gt;30,H6&lt;=50),65,IF(AND(H6&gt;50,H6&lt;=90),80,IF(AND(H6&gt;90,H6&lt;=190),100,IF(AND(H6&gt;190,H6&lt;=550),150,0))))))))</f>
        <v>40</v>
      </c>
      <c r="M6" s="110">
        <f t="shared" ref="M6:M17" si="2">IF(AND(T6&gt;0,T6&lt;10001),50,IF(AND(T6&gt;10000,T6&lt;20001),65,IF(AND(T6&gt;20000,T6&lt;35001),80,0)))</f>
        <v>50</v>
      </c>
      <c r="N6" s="326">
        <f>IF(AND(J6&gt;0,J6&lt;=5),25,IF(AND(J6&gt;5,J6&lt;=10),32,IF(AND(J6&gt;10,J6&lt;=15),40,IF(AND(J6&gt;15,J6&lt;=30),50,IF(AND(J6&gt;30,J6&lt;=50),65,IF(AND(J6&gt;50,J6&lt;=90),80,IF(AND(J6&gt;90,J6&lt;=190),100,IF(AND(J6&gt;190,J6&lt;=550),150,0))))))))</f>
        <v>50</v>
      </c>
      <c r="O6" s="98">
        <f>IF(C6=0,0,G6*D6*60*3.78*1.15)</f>
        <v>5842.3680000000004</v>
      </c>
      <c r="P6" s="113">
        <f>CEILING(O6,500)</f>
        <v>6000</v>
      </c>
      <c r="Q6" s="113">
        <f>O6/3.78</f>
        <v>1545.6000000000001</v>
      </c>
      <c r="R6" s="115">
        <f>C6</f>
        <v>1</v>
      </c>
      <c r="S6" s="99">
        <f>O6*E6*R6</f>
        <v>17527.103999999999</v>
      </c>
      <c r="T6" s="99">
        <f>S6/3.78</f>
        <v>4636.8</v>
      </c>
      <c r="U6" s="329">
        <f>SUM(S6:S17)</f>
        <v>29211.839999999997</v>
      </c>
      <c r="V6" s="329">
        <f>SUM(T6:T17)</f>
        <v>7728</v>
      </c>
      <c r="W6" s="332">
        <f>CEILING(U6,1000)</f>
        <v>30000</v>
      </c>
      <c r="X6" s="335">
        <f>IF(V6=0,0,INDEX($Z$9:$Z$27,MATCH(V6,$Z$9:$Z$27,-1)))</f>
        <v>8000</v>
      </c>
    </row>
    <row r="7" spans="1:26" ht="30" customHeight="1" x14ac:dyDescent="0.25">
      <c r="A7" s="91">
        <v>2</v>
      </c>
      <c r="B7" s="92">
        <v>2000</v>
      </c>
      <c r="C7" s="93">
        <v>1</v>
      </c>
      <c r="D7" s="93">
        <v>8</v>
      </c>
      <c r="E7" s="94">
        <v>3</v>
      </c>
      <c r="F7" s="95">
        <f t="shared" si="0"/>
        <v>1600</v>
      </c>
      <c r="G7" s="96">
        <f t="shared" si="1"/>
        <v>1.8666666666666669</v>
      </c>
      <c r="H7" s="97">
        <f>G7*4</f>
        <v>7.4666666666666677</v>
      </c>
      <c r="I7" s="97">
        <f t="shared" ref="I7:I17" si="3">H7*C7</f>
        <v>7.4666666666666677</v>
      </c>
      <c r="J7" s="324"/>
      <c r="K7" s="109">
        <f t="shared" ref="K7:K17" si="4">IF(AND(G7&gt;0,G7&lt;=5),25,IF(AND(G7&gt;5,G7&lt;=10),32,IF(AND(G7&gt;10,G7&lt;=15),40,IF(AND(G7&gt;15,G7&lt;=30),50,IF(AND(G7&gt;30,G7&lt;=50),65,IF(AND(G7&gt;50,G7&lt;=90),80,IF(AND(G7&gt;90,G7&lt;=190),100,IF(AND(G7&gt;190,G7&lt;=550),150,0))))))))</f>
        <v>25</v>
      </c>
      <c r="L7" s="110">
        <f t="shared" ref="L7:L17" si="5">IF(AND(H7&gt;0,H7&lt;=5),25,IF(AND(H7&gt;5,H7&lt;=10),32,IF(AND(H7&gt;10,H7&lt;=15),40,IF(AND(H7&gt;15,H7&lt;=30),50,IF(AND(H7&gt;30,H7&lt;=50),65,IF(AND(H7&gt;50,H7&lt;=90),80,IF(AND(H7&gt;90,H7&lt;=190),100,IF(AND(H7&gt;190,H7&lt;=550),150,0))))))))</f>
        <v>32</v>
      </c>
      <c r="M7" s="110">
        <f t="shared" si="2"/>
        <v>50</v>
      </c>
      <c r="N7" s="327"/>
      <c r="O7" s="98">
        <f t="shared" ref="O7:O16" si="6">IF(C7=0,0,G7*D7*60*3.78*1.15)</f>
        <v>3894.9119999999998</v>
      </c>
      <c r="P7" s="113">
        <f t="shared" ref="P7:P17" si="7">CEILING(O7,500)</f>
        <v>4000</v>
      </c>
      <c r="Q7" s="113">
        <f t="shared" ref="Q7:Q17" si="8">O7/3.78</f>
        <v>1030.4000000000001</v>
      </c>
      <c r="R7" s="115">
        <f t="shared" ref="R7:R17" si="9">C7</f>
        <v>1</v>
      </c>
      <c r="S7" s="99">
        <f t="shared" ref="S7:S17" si="10">O7*E7*R7</f>
        <v>11684.735999999999</v>
      </c>
      <c r="T7" s="99">
        <f>S7/3.78</f>
        <v>3091.2</v>
      </c>
      <c r="U7" s="330"/>
      <c r="V7" s="330"/>
      <c r="W7" s="333"/>
      <c r="X7" s="336"/>
    </row>
    <row r="8" spans="1:26" ht="30" customHeight="1" x14ac:dyDescent="0.25">
      <c r="A8" s="91">
        <v>3</v>
      </c>
      <c r="B8" s="92"/>
      <c r="C8" s="93"/>
      <c r="D8" s="93"/>
      <c r="E8" s="94"/>
      <c r="F8" s="95">
        <f t="shared" si="0"/>
        <v>0</v>
      </c>
      <c r="G8" s="96">
        <f t="shared" si="1"/>
        <v>0</v>
      </c>
      <c r="H8" s="97">
        <f t="shared" ref="H8:H17" si="11">G8*4</f>
        <v>0</v>
      </c>
      <c r="I8" s="97">
        <f t="shared" si="3"/>
        <v>0</v>
      </c>
      <c r="J8" s="324"/>
      <c r="K8" s="109">
        <f t="shared" si="4"/>
        <v>0</v>
      </c>
      <c r="L8" s="110">
        <f t="shared" si="5"/>
        <v>0</v>
      </c>
      <c r="M8" s="110">
        <f t="shared" si="2"/>
        <v>0</v>
      </c>
      <c r="N8" s="327"/>
      <c r="O8" s="98">
        <f t="shared" si="6"/>
        <v>0</v>
      </c>
      <c r="P8" s="113">
        <f t="shared" si="7"/>
        <v>0</v>
      </c>
      <c r="Q8" s="113">
        <f t="shared" si="8"/>
        <v>0</v>
      </c>
      <c r="R8" s="115">
        <f t="shared" si="9"/>
        <v>0</v>
      </c>
      <c r="S8" s="99">
        <f t="shared" si="10"/>
        <v>0</v>
      </c>
      <c r="T8" s="99">
        <f t="shared" ref="T8:T17" si="12">Q8*E8</f>
        <v>0</v>
      </c>
      <c r="U8" s="330"/>
      <c r="V8" s="330"/>
      <c r="W8" s="333"/>
      <c r="X8" s="336"/>
    </row>
    <row r="9" spans="1:26" ht="30" customHeight="1" x14ac:dyDescent="0.25">
      <c r="A9" s="91">
        <v>4</v>
      </c>
      <c r="B9" s="92"/>
      <c r="C9" s="93"/>
      <c r="D9" s="93"/>
      <c r="E9" s="94"/>
      <c r="F9" s="95">
        <f t="shared" si="0"/>
        <v>0</v>
      </c>
      <c r="G9" s="96">
        <f t="shared" si="1"/>
        <v>0</v>
      </c>
      <c r="H9" s="97">
        <f t="shared" si="11"/>
        <v>0</v>
      </c>
      <c r="I9" s="97">
        <f t="shared" si="3"/>
        <v>0</v>
      </c>
      <c r="J9" s="324"/>
      <c r="K9" s="109">
        <f t="shared" si="4"/>
        <v>0</v>
      </c>
      <c r="L9" s="110">
        <f t="shared" si="5"/>
        <v>0</v>
      </c>
      <c r="M9" s="110">
        <f t="shared" si="2"/>
        <v>0</v>
      </c>
      <c r="N9" s="327"/>
      <c r="O9" s="98">
        <f t="shared" si="6"/>
        <v>0</v>
      </c>
      <c r="P9" s="113">
        <f t="shared" si="7"/>
        <v>0</v>
      </c>
      <c r="Q9" s="113">
        <f t="shared" si="8"/>
        <v>0</v>
      </c>
      <c r="R9" s="115">
        <f t="shared" si="9"/>
        <v>0</v>
      </c>
      <c r="S9" s="99">
        <f t="shared" si="10"/>
        <v>0</v>
      </c>
      <c r="T9" s="99">
        <f t="shared" si="12"/>
        <v>0</v>
      </c>
      <c r="U9" s="330"/>
      <c r="V9" s="330"/>
      <c r="W9" s="333"/>
      <c r="X9" s="336"/>
      <c r="Z9">
        <v>50000</v>
      </c>
    </row>
    <row r="10" spans="1:26" ht="30" customHeight="1" x14ac:dyDescent="0.25">
      <c r="A10" s="91">
        <v>5</v>
      </c>
      <c r="B10" s="92"/>
      <c r="C10" s="93"/>
      <c r="D10" s="93"/>
      <c r="E10" s="94"/>
      <c r="F10" s="95">
        <f t="shared" si="0"/>
        <v>0</v>
      </c>
      <c r="G10" s="96">
        <f t="shared" si="1"/>
        <v>0</v>
      </c>
      <c r="H10" s="97">
        <f t="shared" si="11"/>
        <v>0</v>
      </c>
      <c r="I10" s="97">
        <f t="shared" si="3"/>
        <v>0</v>
      </c>
      <c r="J10" s="324"/>
      <c r="K10" s="109">
        <f t="shared" si="4"/>
        <v>0</v>
      </c>
      <c r="L10" s="110">
        <f t="shared" si="5"/>
        <v>0</v>
      </c>
      <c r="M10" s="110">
        <f t="shared" si="2"/>
        <v>0</v>
      </c>
      <c r="N10" s="327"/>
      <c r="O10" s="98">
        <f t="shared" si="6"/>
        <v>0</v>
      </c>
      <c r="P10" s="113">
        <f t="shared" si="7"/>
        <v>0</v>
      </c>
      <c r="Q10" s="113">
        <f t="shared" si="8"/>
        <v>0</v>
      </c>
      <c r="R10" s="115">
        <f t="shared" si="9"/>
        <v>0</v>
      </c>
      <c r="S10" s="99">
        <f t="shared" si="10"/>
        <v>0</v>
      </c>
      <c r="T10" s="99">
        <f t="shared" si="12"/>
        <v>0</v>
      </c>
      <c r="U10" s="330"/>
      <c r="V10" s="330"/>
      <c r="W10" s="333"/>
      <c r="X10" s="336"/>
      <c r="Z10">
        <v>47500</v>
      </c>
    </row>
    <row r="11" spans="1:26" ht="30" customHeight="1" x14ac:dyDescent="0.25">
      <c r="A11" s="91">
        <v>6</v>
      </c>
      <c r="B11" s="92"/>
      <c r="C11" s="93"/>
      <c r="D11" s="93"/>
      <c r="E11" s="94"/>
      <c r="F11" s="95">
        <f t="shared" si="0"/>
        <v>0</v>
      </c>
      <c r="G11" s="96">
        <f t="shared" si="1"/>
        <v>0</v>
      </c>
      <c r="H11" s="97">
        <f t="shared" si="11"/>
        <v>0</v>
      </c>
      <c r="I11" s="97">
        <f t="shared" si="3"/>
        <v>0</v>
      </c>
      <c r="J11" s="324"/>
      <c r="K11" s="109">
        <f t="shared" si="4"/>
        <v>0</v>
      </c>
      <c r="L11" s="110">
        <f t="shared" si="5"/>
        <v>0</v>
      </c>
      <c r="M11" s="110">
        <f t="shared" si="2"/>
        <v>0</v>
      </c>
      <c r="N11" s="327"/>
      <c r="O11" s="98">
        <f t="shared" si="6"/>
        <v>0</v>
      </c>
      <c r="P11" s="113">
        <f t="shared" si="7"/>
        <v>0</v>
      </c>
      <c r="Q11" s="113">
        <f t="shared" si="8"/>
        <v>0</v>
      </c>
      <c r="R11" s="115">
        <f t="shared" si="9"/>
        <v>0</v>
      </c>
      <c r="S11" s="99">
        <f t="shared" si="10"/>
        <v>0</v>
      </c>
      <c r="T11" s="99">
        <f t="shared" si="12"/>
        <v>0</v>
      </c>
      <c r="U11" s="330"/>
      <c r="V11" s="330"/>
      <c r="W11" s="333"/>
      <c r="X11" s="336"/>
      <c r="Z11">
        <v>45000</v>
      </c>
    </row>
    <row r="12" spans="1:26" ht="30" customHeight="1" x14ac:dyDescent="0.25">
      <c r="A12" s="91">
        <v>7</v>
      </c>
      <c r="B12" s="92"/>
      <c r="C12" s="93"/>
      <c r="D12" s="93"/>
      <c r="E12" s="94"/>
      <c r="F12" s="95">
        <f t="shared" si="0"/>
        <v>0</v>
      </c>
      <c r="G12" s="96">
        <f t="shared" si="1"/>
        <v>0</v>
      </c>
      <c r="H12" s="97">
        <f t="shared" si="11"/>
        <v>0</v>
      </c>
      <c r="I12" s="97">
        <f t="shared" si="3"/>
        <v>0</v>
      </c>
      <c r="J12" s="324"/>
      <c r="K12" s="109">
        <f t="shared" si="4"/>
        <v>0</v>
      </c>
      <c r="L12" s="110">
        <f t="shared" si="5"/>
        <v>0</v>
      </c>
      <c r="M12" s="110">
        <f t="shared" si="2"/>
        <v>0</v>
      </c>
      <c r="N12" s="327"/>
      <c r="O12" s="98">
        <f t="shared" si="6"/>
        <v>0</v>
      </c>
      <c r="P12" s="113">
        <f t="shared" si="7"/>
        <v>0</v>
      </c>
      <c r="Q12" s="113">
        <f t="shared" si="8"/>
        <v>0</v>
      </c>
      <c r="R12" s="115">
        <f t="shared" si="9"/>
        <v>0</v>
      </c>
      <c r="S12" s="99">
        <f t="shared" si="10"/>
        <v>0</v>
      </c>
      <c r="T12" s="99">
        <f t="shared" si="12"/>
        <v>0</v>
      </c>
      <c r="U12" s="330"/>
      <c r="V12" s="330"/>
      <c r="W12" s="333"/>
      <c r="X12" s="336"/>
      <c r="Z12">
        <v>42500</v>
      </c>
    </row>
    <row r="13" spans="1:26" ht="30" customHeight="1" x14ac:dyDescent="0.25">
      <c r="A13" s="91">
        <v>8</v>
      </c>
      <c r="B13" s="92"/>
      <c r="C13" s="93"/>
      <c r="D13" s="93"/>
      <c r="E13" s="94"/>
      <c r="F13" s="95">
        <f t="shared" si="0"/>
        <v>0</v>
      </c>
      <c r="G13" s="96">
        <f t="shared" si="1"/>
        <v>0</v>
      </c>
      <c r="H13" s="97">
        <f t="shared" si="11"/>
        <v>0</v>
      </c>
      <c r="I13" s="97">
        <f t="shared" si="3"/>
        <v>0</v>
      </c>
      <c r="J13" s="324"/>
      <c r="K13" s="109">
        <f t="shared" si="4"/>
        <v>0</v>
      </c>
      <c r="L13" s="110">
        <f t="shared" si="5"/>
        <v>0</v>
      </c>
      <c r="M13" s="110">
        <f t="shared" si="2"/>
        <v>0</v>
      </c>
      <c r="N13" s="327"/>
      <c r="O13" s="98">
        <f t="shared" si="6"/>
        <v>0</v>
      </c>
      <c r="P13" s="113">
        <f t="shared" si="7"/>
        <v>0</v>
      </c>
      <c r="Q13" s="113">
        <f t="shared" si="8"/>
        <v>0</v>
      </c>
      <c r="R13" s="115">
        <f t="shared" si="9"/>
        <v>0</v>
      </c>
      <c r="S13" s="99">
        <f t="shared" si="10"/>
        <v>0</v>
      </c>
      <c r="T13" s="99">
        <f t="shared" si="12"/>
        <v>0</v>
      </c>
      <c r="U13" s="330"/>
      <c r="V13" s="330"/>
      <c r="W13" s="333"/>
      <c r="X13" s="336"/>
      <c r="Z13">
        <v>40000</v>
      </c>
    </row>
    <row r="14" spans="1:26" ht="30" customHeight="1" x14ac:dyDescent="0.25">
      <c r="A14" s="91">
        <v>9</v>
      </c>
      <c r="B14" s="92"/>
      <c r="C14" s="93"/>
      <c r="D14" s="93"/>
      <c r="E14" s="94"/>
      <c r="F14" s="95">
        <f t="shared" si="0"/>
        <v>0</v>
      </c>
      <c r="G14" s="96">
        <f t="shared" si="1"/>
        <v>0</v>
      </c>
      <c r="H14" s="97">
        <f t="shared" si="11"/>
        <v>0</v>
      </c>
      <c r="I14" s="97">
        <f t="shared" si="3"/>
        <v>0</v>
      </c>
      <c r="J14" s="324"/>
      <c r="K14" s="109">
        <f t="shared" si="4"/>
        <v>0</v>
      </c>
      <c r="L14" s="110">
        <f t="shared" si="5"/>
        <v>0</v>
      </c>
      <c r="M14" s="110">
        <f t="shared" si="2"/>
        <v>0</v>
      </c>
      <c r="N14" s="327"/>
      <c r="O14" s="98">
        <f t="shared" si="6"/>
        <v>0</v>
      </c>
      <c r="P14" s="113">
        <f t="shared" si="7"/>
        <v>0</v>
      </c>
      <c r="Q14" s="113">
        <f t="shared" si="8"/>
        <v>0</v>
      </c>
      <c r="R14" s="115">
        <f t="shared" si="9"/>
        <v>0</v>
      </c>
      <c r="S14" s="99">
        <f t="shared" si="10"/>
        <v>0</v>
      </c>
      <c r="T14" s="99">
        <f t="shared" si="12"/>
        <v>0</v>
      </c>
      <c r="U14" s="330"/>
      <c r="V14" s="330"/>
      <c r="W14" s="333"/>
      <c r="X14" s="336"/>
      <c r="Z14">
        <v>37500</v>
      </c>
    </row>
    <row r="15" spans="1:26" ht="30" customHeight="1" x14ac:dyDescent="0.25">
      <c r="A15" s="91">
        <v>10</v>
      </c>
      <c r="B15" s="92"/>
      <c r="C15" s="93"/>
      <c r="D15" s="93"/>
      <c r="E15" s="94"/>
      <c r="F15" s="95">
        <f t="shared" si="0"/>
        <v>0</v>
      </c>
      <c r="G15" s="96">
        <f t="shared" si="1"/>
        <v>0</v>
      </c>
      <c r="H15" s="97">
        <f t="shared" si="11"/>
        <v>0</v>
      </c>
      <c r="I15" s="97">
        <f t="shared" si="3"/>
        <v>0</v>
      </c>
      <c r="J15" s="324"/>
      <c r="K15" s="109">
        <f t="shared" si="4"/>
        <v>0</v>
      </c>
      <c r="L15" s="110">
        <f t="shared" si="5"/>
        <v>0</v>
      </c>
      <c r="M15" s="110">
        <f t="shared" si="2"/>
        <v>0</v>
      </c>
      <c r="N15" s="327"/>
      <c r="O15" s="98">
        <f t="shared" si="6"/>
        <v>0</v>
      </c>
      <c r="P15" s="113">
        <f t="shared" si="7"/>
        <v>0</v>
      </c>
      <c r="Q15" s="113">
        <f t="shared" si="8"/>
        <v>0</v>
      </c>
      <c r="R15" s="115">
        <f t="shared" si="9"/>
        <v>0</v>
      </c>
      <c r="S15" s="99">
        <f t="shared" si="10"/>
        <v>0</v>
      </c>
      <c r="T15" s="99">
        <f t="shared" si="12"/>
        <v>0</v>
      </c>
      <c r="U15" s="330"/>
      <c r="V15" s="330"/>
      <c r="W15" s="333"/>
      <c r="X15" s="336"/>
      <c r="Z15">
        <v>35000</v>
      </c>
    </row>
    <row r="16" spans="1:26" ht="30" customHeight="1" x14ac:dyDescent="0.25">
      <c r="A16" s="91">
        <v>11</v>
      </c>
      <c r="B16" s="92"/>
      <c r="C16" s="93"/>
      <c r="D16" s="93"/>
      <c r="E16" s="94"/>
      <c r="F16" s="95">
        <f t="shared" si="0"/>
        <v>0</v>
      </c>
      <c r="G16" s="96">
        <f t="shared" si="1"/>
        <v>0</v>
      </c>
      <c r="H16" s="97">
        <f t="shared" si="11"/>
        <v>0</v>
      </c>
      <c r="I16" s="97">
        <f t="shared" si="3"/>
        <v>0</v>
      </c>
      <c r="J16" s="324"/>
      <c r="K16" s="109">
        <f t="shared" si="4"/>
        <v>0</v>
      </c>
      <c r="L16" s="110">
        <f t="shared" si="5"/>
        <v>0</v>
      </c>
      <c r="M16" s="110">
        <f t="shared" si="2"/>
        <v>0</v>
      </c>
      <c r="N16" s="327"/>
      <c r="O16" s="98">
        <f t="shared" si="6"/>
        <v>0</v>
      </c>
      <c r="P16" s="113">
        <f t="shared" si="7"/>
        <v>0</v>
      </c>
      <c r="Q16" s="113">
        <f t="shared" si="8"/>
        <v>0</v>
      </c>
      <c r="R16" s="115">
        <f t="shared" si="9"/>
        <v>0</v>
      </c>
      <c r="S16" s="99">
        <f t="shared" si="10"/>
        <v>0</v>
      </c>
      <c r="T16" s="99">
        <f t="shared" si="12"/>
        <v>0</v>
      </c>
      <c r="U16" s="330"/>
      <c r="V16" s="330"/>
      <c r="W16" s="333"/>
      <c r="X16" s="336"/>
      <c r="Z16">
        <v>32500</v>
      </c>
    </row>
    <row r="17" spans="1:26" ht="30" customHeight="1" thickBot="1" x14ac:dyDescent="0.3">
      <c r="A17" s="100">
        <v>12</v>
      </c>
      <c r="B17" s="101"/>
      <c r="C17" s="102"/>
      <c r="D17" s="102"/>
      <c r="E17" s="103"/>
      <c r="F17" s="104">
        <f t="shared" si="0"/>
        <v>0</v>
      </c>
      <c r="G17" s="105">
        <f t="shared" si="1"/>
        <v>0</v>
      </c>
      <c r="H17" s="106">
        <f t="shared" si="11"/>
        <v>0</v>
      </c>
      <c r="I17" s="106">
        <f t="shared" si="3"/>
        <v>0</v>
      </c>
      <c r="J17" s="325"/>
      <c r="K17" s="111">
        <f t="shared" si="4"/>
        <v>0</v>
      </c>
      <c r="L17" s="112">
        <f t="shared" si="5"/>
        <v>0</v>
      </c>
      <c r="M17" s="112">
        <f t="shared" si="2"/>
        <v>0</v>
      </c>
      <c r="N17" s="328"/>
      <c r="O17" s="107">
        <f>IF(C17=0,0,G17*D17*60*3.78*1.15)</f>
        <v>0</v>
      </c>
      <c r="P17" s="114">
        <f t="shared" si="7"/>
        <v>0</v>
      </c>
      <c r="Q17" s="114">
        <f t="shared" si="8"/>
        <v>0</v>
      </c>
      <c r="R17" s="116">
        <f t="shared" si="9"/>
        <v>0</v>
      </c>
      <c r="S17" s="108">
        <f t="shared" si="10"/>
        <v>0</v>
      </c>
      <c r="T17" s="108">
        <f t="shared" si="12"/>
        <v>0</v>
      </c>
      <c r="U17" s="331"/>
      <c r="V17" s="331"/>
      <c r="W17" s="334"/>
      <c r="X17" s="337"/>
      <c r="Z17">
        <v>30000</v>
      </c>
    </row>
    <row r="18" spans="1:26" ht="27.75" customHeight="1" x14ac:dyDescent="0.25">
      <c r="Z18">
        <v>25000</v>
      </c>
    </row>
    <row r="19" spans="1:26" ht="68.25" customHeight="1" x14ac:dyDescent="0.25">
      <c r="B19" s="307" t="s">
        <v>364</v>
      </c>
      <c r="C19" s="308"/>
      <c r="D19" s="308"/>
      <c r="O19" s="218">
        <f>330*8*7*1.15</f>
        <v>21252</v>
      </c>
      <c r="P19" s="219">
        <f>204*1.15*8*7</f>
        <v>13137.6</v>
      </c>
      <c r="Z19">
        <v>20000</v>
      </c>
    </row>
    <row r="20" spans="1:26" ht="22.5" customHeight="1" x14ac:dyDescent="0.25">
      <c r="Z20">
        <v>15000</v>
      </c>
    </row>
    <row r="21" spans="1:26" ht="22.5" customHeight="1" thickBot="1" x14ac:dyDescent="0.3">
      <c r="Z21">
        <v>12000</v>
      </c>
    </row>
    <row r="22" spans="1:26" ht="40.5" customHeight="1" thickBot="1" x14ac:dyDescent="0.3">
      <c r="A22" s="338" t="s">
        <v>334</v>
      </c>
      <c r="B22" s="339"/>
      <c r="C22" s="339"/>
      <c r="D22" s="339"/>
      <c r="E22" s="339"/>
      <c r="F22" s="339"/>
      <c r="G22" s="339"/>
      <c r="H22" s="339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40"/>
      <c r="Z22">
        <v>10000</v>
      </c>
    </row>
    <row r="23" spans="1:26" ht="37.5" customHeight="1" thickBot="1" x14ac:dyDescent="0.3">
      <c r="A23" s="65"/>
      <c r="B23" s="341" t="s">
        <v>352</v>
      </c>
      <c r="C23" s="342"/>
      <c r="D23" s="342"/>
      <c r="E23" s="343"/>
      <c r="F23" s="341" t="s">
        <v>353</v>
      </c>
      <c r="G23" s="342"/>
      <c r="H23" s="342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3"/>
      <c r="Z23">
        <v>8000</v>
      </c>
    </row>
    <row r="24" spans="1:26" ht="49.5" customHeight="1" thickBot="1" x14ac:dyDescent="0.3">
      <c r="A24" s="66"/>
      <c r="B24" s="311" t="s">
        <v>357</v>
      </c>
      <c r="C24" s="312"/>
      <c r="D24" s="312"/>
      <c r="E24" s="313"/>
      <c r="F24" s="67" t="s">
        <v>335</v>
      </c>
      <c r="G24" s="314" t="s">
        <v>355</v>
      </c>
      <c r="H24" s="315"/>
      <c r="I24" s="315"/>
      <c r="J24" s="316"/>
      <c r="K24" s="317" t="s">
        <v>356</v>
      </c>
      <c r="L24" s="318"/>
      <c r="M24" s="318"/>
      <c r="N24" s="319"/>
      <c r="O24" s="320" t="s">
        <v>333</v>
      </c>
      <c r="P24" s="321"/>
      <c r="Q24" s="321"/>
      <c r="R24" s="321"/>
      <c r="S24" s="321"/>
      <c r="T24" s="321"/>
      <c r="U24" s="321"/>
      <c r="V24" s="321"/>
      <c r="W24" s="321"/>
      <c r="X24" s="322"/>
      <c r="Z24">
        <v>6000</v>
      </c>
    </row>
    <row r="25" spans="1:26" ht="99" customHeight="1" thickBot="1" x14ac:dyDescent="0.3">
      <c r="A25" s="68" t="s">
        <v>330</v>
      </c>
      <c r="B25" s="69" t="s">
        <v>331</v>
      </c>
      <c r="C25" s="70" t="s">
        <v>336</v>
      </c>
      <c r="D25" s="70" t="s">
        <v>337</v>
      </c>
      <c r="E25" s="71" t="s">
        <v>338</v>
      </c>
      <c r="F25" s="72" t="s">
        <v>331</v>
      </c>
      <c r="G25" s="73" t="s">
        <v>339</v>
      </c>
      <c r="H25" s="74" t="s">
        <v>366</v>
      </c>
      <c r="I25" s="74" t="s">
        <v>365</v>
      </c>
      <c r="J25" s="75" t="s">
        <v>341</v>
      </c>
      <c r="K25" s="76" t="s">
        <v>363</v>
      </c>
      <c r="L25" s="77" t="s">
        <v>340</v>
      </c>
      <c r="M25" s="78" t="s">
        <v>516</v>
      </c>
      <c r="N25" s="79" t="s">
        <v>332</v>
      </c>
      <c r="O25" s="80" t="s">
        <v>359</v>
      </c>
      <c r="P25" s="309" t="s">
        <v>361</v>
      </c>
      <c r="Q25" s="310"/>
      <c r="R25" s="81" t="s">
        <v>358</v>
      </c>
      <c r="S25" s="81" t="s">
        <v>349</v>
      </c>
      <c r="T25" s="81" t="s">
        <v>349</v>
      </c>
      <c r="U25" s="81" t="s">
        <v>349</v>
      </c>
      <c r="V25" s="81" t="s">
        <v>349</v>
      </c>
      <c r="W25" s="81" t="s">
        <v>360</v>
      </c>
      <c r="X25" s="82" t="s">
        <v>362</v>
      </c>
      <c r="Z25">
        <v>4000</v>
      </c>
    </row>
    <row r="26" spans="1:26" ht="30" customHeight="1" x14ac:dyDescent="0.25">
      <c r="A26" s="83" t="s">
        <v>348</v>
      </c>
      <c r="B26" s="84" t="s">
        <v>342</v>
      </c>
      <c r="C26" s="85" t="s">
        <v>344</v>
      </c>
      <c r="D26" s="85" t="s">
        <v>345</v>
      </c>
      <c r="E26" s="86" t="s">
        <v>346</v>
      </c>
      <c r="F26" s="87" t="s">
        <v>343</v>
      </c>
      <c r="G26" s="88" t="s">
        <v>347</v>
      </c>
      <c r="H26" s="89" t="s">
        <v>347</v>
      </c>
      <c r="I26" s="89" t="s">
        <v>347</v>
      </c>
      <c r="J26" s="90" t="s">
        <v>347</v>
      </c>
      <c r="K26" s="88" t="s">
        <v>354</v>
      </c>
      <c r="L26" s="89" t="s">
        <v>354</v>
      </c>
      <c r="M26" s="89" t="s">
        <v>354</v>
      </c>
      <c r="N26" s="90" t="s">
        <v>354</v>
      </c>
      <c r="O26" s="88" t="s">
        <v>350</v>
      </c>
      <c r="P26" s="89" t="s">
        <v>350</v>
      </c>
      <c r="Q26" s="89" t="s">
        <v>351</v>
      </c>
      <c r="R26" s="89" t="s">
        <v>344</v>
      </c>
      <c r="S26" s="89" t="s">
        <v>350</v>
      </c>
      <c r="T26" s="89" t="s">
        <v>351</v>
      </c>
      <c r="U26" s="89" t="s">
        <v>350</v>
      </c>
      <c r="V26" s="89" t="s">
        <v>351</v>
      </c>
      <c r="W26" s="89" t="s">
        <v>350</v>
      </c>
      <c r="X26" s="90" t="s">
        <v>351</v>
      </c>
      <c r="Z26">
        <v>3000</v>
      </c>
    </row>
    <row r="27" spans="1:26" ht="30" customHeight="1" x14ac:dyDescent="0.25">
      <c r="A27" s="91">
        <v>1</v>
      </c>
      <c r="B27" s="207">
        <v>1568.75</v>
      </c>
      <c r="C27" s="8">
        <v>1</v>
      </c>
      <c r="D27" s="8">
        <v>8</v>
      </c>
      <c r="E27" s="208">
        <v>3</v>
      </c>
      <c r="F27" s="95">
        <f t="shared" ref="F27:F38" si="13">B27*0.8</f>
        <v>1255</v>
      </c>
      <c r="G27" s="96">
        <f>F27*0.07/60</f>
        <v>1.4641666666666668</v>
      </c>
      <c r="H27" s="97">
        <f>G27*4</f>
        <v>5.8566666666666674</v>
      </c>
      <c r="I27" s="97">
        <f>H27*C27</f>
        <v>5.8566666666666674</v>
      </c>
      <c r="J27" s="323">
        <f>SUM(I27:I38)</f>
        <v>9.7486666666666686</v>
      </c>
      <c r="K27" s="109">
        <f>IF(AND(G27&gt;0,G27&lt;=5),25,IF(AND(G27&gt;5,G27&lt;=10),32,IF(AND(G27&gt;10,G27&lt;=15),40,IF(AND(G27&gt;15,G27&lt;=30),50,IF(AND(G27&gt;30,G27&lt;=50),65,IF(AND(G27&gt;50,G27&lt;=90),80,IF(AND(G27&gt;90,G27&lt;=190),100,IF(AND(G27&gt;190,G27&lt;=550),150,0))))))))</f>
        <v>25</v>
      </c>
      <c r="L27" s="110">
        <f>IF(AND(H27&gt;0,H27&lt;=5),25,IF(AND(H27&gt;5,H27&lt;=10),32,IF(AND(H27&gt;10,H27&lt;=15),40,IF(AND(H27&gt;15,H27&lt;=30),50,IF(AND(H27&gt;30,H27&lt;=50),65,IF(AND(H27&gt;50,H27&lt;=90),80,IF(AND(H27&gt;90,H27&lt;=190),100,IF(AND(H27&gt;190,H27&lt;=550),150,0))))))))</f>
        <v>32</v>
      </c>
      <c r="M27" s="110">
        <f t="shared" ref="M27:M38" si="14">IF(AND(T27&gt;0,T27&lt;10001),50,IF(AND(T27&gt;10000,T27&lt;20001),65,IF(AND(T27&gt;20000,T27&lt;35001),80,0)))</f>
        <v>50</v>
      </c>
      <c r="N27" s="326">
        <f>IF(AND(J27&gt;0,J27&lt;=5),25,IF(AND(J27&gt;5,J27&lt;=10),32,IF(AND(J27&gt;10,J27&lt;=15),40,IF(AND(J27&gt;15,J27&lt;=30),50,IF(AND(J27&gt;30,J27&lt;=50),65,IF(AND(J27&gt;50,J27&lt;=90),80,IF(AND(J27&gt;90,J27&lt;=190),100,IF(AND(J27&gt;190,J27&lt;=550),150,0))))))))</f>
        <v>32</v>
      </c>
      <c r="O27" s="98">
        <f>IF(C27=0,0,G27*D27*60*3.78*1.15)</f>
        <v>3055.0716000000002</v>
      </c>
      <c r="P27" s="113">
        <f>CEILING(O27,500)</f>
        <v>3500</v>
      </c>
      <c r="Q27" s="113">
        <f>O27/3.78</f>
        <v>808.22000000000014</v>
      </c>
      <c r="R27" s="115">
        <f>C27</f>
        <v>1</v>
      </c>
      <c r="S27" s="99">
        <f>O27*E27*R27</f>
        <v>9165.2148000000016</v>
      </c>
      <c r="T27" s="99">
        <f>S27/3.78</f>
        <v>2424.6600000000008</v>
      </c>
      <c r="U27" s="329">
        <f>SUM(S27:S38)</f>
        <v>15255.883440000001</v>
      </c>
      <c r="V27" s="329">
        <f>SUM(T27:T38)</f>
        <v>4035.9480000000008</v>
      </c>
      <c r="W27" s="332">
        <f>CEILING(U27,1000)</f>
        <v>16000</v>
      </c>
      <c r="X27" s="335">
        <f>IF(V27=0,0,INDEX($Z$9:$Z$27,MATCH(V27,$Z$9:$Z$27,-1)))</f>
        <v>6000</v>
      </c>
      <c r="Z27">
        <v>2000</v>
      </c>
    </row>
    <row r="28" spans="1:26" ht="30" customHeight="1" x14ac:dyDescent="0.25">
      <c r="A28" s="91">
        <v>2</v>
      </c>
      <c r="B28" s="207">
        <v>1042.5</v>
      </c>
      <c r="C28" s="8">
        <v>1</v>
      </c>
      <c r="D28" s="8">
        <v>8</v>
      </c>
      <c r="E28" s="208">
        <v>3</v>
      </c>
      <c r="F28" s="95">
        <f t="shared" si="13"/>
        <v>834</v>
      </c>
      <c r="G28" s="96">
        <f t="shared" ref="G28:G38" si="15">F28*0.07/60</f>
        <v>0.97300000000000009</v>
      </c>
      <c r="H28" s="97">
        <f>G28*4</f>
        <v>3.8920000000000003</v>
      </c>
      <c r="I28" s="97">
        <f t="shared" ref="I28:I38" si="16">H28*C28</f>
        <v>3.8920000000000003</v>
      </c>
      <c r="J28" s="324"/>
      <c r="K28" s="109">
        <f t="shared" ref="K28:K38" si="17">IF(AND(G28&gt;0,G28&lt;=5),25,IF(AND(G28&gt;5,G28&lt;=10),32,IF(AND(G28&gt;10,G28&lt;=15),40,IF(AND(G28&gt;15,G28&lt;=30),50,IF(AND(G28&gt;30,G28&lt;=50),65,IF(AND(G28&gt;50,G28&lt;=90),80,IF(AND(G28&gt;90,G28&lt;=190),100,IF(AND(G28&gt;190,G28&lt;=550),150,0))))))))</f>
        <v>25</v>
      </c>
      <c r="L28" s="110">
        <f t="shared" ref="L28:L38" si="18">IF(AND(H28&gt;0,H28&lt;=5),25,IF(AND(H28&gt;5,H28&lt;=10),32,IF(AND(H28&gt;10,H28&lt;=15),40,IF(AND(H28&gt;15,H28&lt;=30),50,IF(AND(H28&gt;30,H28&lt;=50),65,IF(AND(H28&gt;50,H28&lt;=90),80,IF(AND(H28&gt;90,H28&lt;=190),100,IF(AND(H28&gt;190,H28&lt;=550),150,0))))))))</f>
        <v>25</v>
      </c>
      <c r="M28" s="110">
        <f t="shared" si="14"/>
        <v>50</v>
      </c>
      <c r="N28" s="327"/>
      <c r="O28" s="98">
        <f t="shared" ref="O28:O37" si="19">IF(C28=0,0,G28*D28*60*3.78*1.15)</f>
        <v>2030.2228799999998</v>
      </c>
      <c r="P28" s="113">
        <f t="shared" ref="P28:P38" si="20">CEILING(O28,500)</f>
        <v>2500</v>
      </c>
      <c r="Q28" s="113">
        <f t="shared" ref="Q28:Q38" si="21">O28/3.78</f>
        <v>537.096</v>
      </c>
      <c r="R28" s="115">
        <f t="shared" ref="R28:R38" si="22">C28</f>
        <v>1</v>
      </c>
      <c r="S28" s="99">
        <f t="shared" ref="S28:S38" si="23">O28*E28</f>
        <v>6090.6686399999999</v>
      </c>
      <c r="T28" s="99">
        <f>S28/3.78</f>
        <v>1611.288</v>
      </c>
      <c r="U28" s="330"/>
      <c r="V28" s="330"/>
      <c r="W28" s="333"/>
      <c r="X28" s="336"/>
    </row>
    <row r="29" spans="1:26" ht="30" customHeight="1" x14ac:dyDescent="0.25">
      <c r="A29" s="91">
        <v>3</v>
      </c>
      <c r="B29" s="92"/>
      <c r="C29" s="93"/>
      <c r="D29" s="93"/>
      <c r="E29" s="94"/>
      <c r="F29" s="95">
        <f t="shared" si="13"/>
        <v>0</v>
      </c>
      <c r="G29" s="96">
        <f t="shared" si="15"/>
        <v>0</v>
      </c>
      <c r="H29" s="97">
        <f t="shared" ref="H29:H38" si="24">G29*4</f>
        <v>0</v>
      </c>
      <c r="I29" s="97">
        <f t="shared" si="16"/>
        <v>0</v>
      </c>
      <c r="J29" s="324"/>
      <c r="K29" s="109">
        <f t="shared" si="17"/>
        <v>0</v>
      </c>
      <c r="L29" s="110">
        <f t="shared" si="18"/>
        <v>0</v>
      </c>
      <c r="M29" s="110">
        <f t="shared" si="14"/>
        <v>0</v>
      </c>
      <c r="N29" s="327"/>
      <c r="O29" s="98">
        <f t="shared" si="19"/>
        <v>0</v>
      </c>
      <c r="P29" s="113">
        <f t="shared" si="20"/>
        <v>0</v>
      </c>
      <c r="Q29" s="113">
        <f t="shared" si="21"/>
        <v>0</v>
      </c>
      <c r="R29" s="115">
        <f t="shared" si="22"/>
        <v>0</v>
      </c>
      <c r="S29" s="99">
        <f t="shared" si="23"/>
        <v>0</v>
      </c>
      <c r="T29" s="99">
        <f t="shared" ref="T29:T38" si="25">Q29*E29</f>
        <v>0</v>
      </c>
      <c r="U29" s="330"/>
      <c r="V29" s="330"/>
      <c r="W29" s="333"/>
      <c r="X29" s="336"/>
    </row>
    <row r="30" spans="1:26" ht="30" customHeight="1" x14ac:dyDescent="0.25">
      <c r="A30" s="91">
        <v>4</v>
      </c>
      <c r="B30" s="92"/>
      <c r="C30" s="93"/>
      <c r="D30" s="93"/>
      <c r="E30" s="94"/>
      <c r="F30" s="95">
        <f t="shared" si="13"/>
        <v>0</v>
      </c>
      <c r="G30" s="96">
        <f t="shared" si="15"/>
        <v>0</v>
      </c>
      <c r="H30" s="97">
        <f t="shared" si="24"/>
        <v>0</v>
      </c>
      <c r="I30" s="97">
        <f t="shared" si="16"/>
        <v>0</v>
      </c>
      <c r="J30" s="324"/>
      <c r="K30" s="109">
        <f t="shared" si="17"/>
        <v>0</v>
      </c>
      <c r="L30" s="110">
        <f t="shared" si="18"/>
        <v>0</v>
      </c>
      <c r="M30" s="110">
        <f t="shared" si="14"/>
        <v>0</v>
      </c>
      <c r="N30" s="327"/>
      <c r="O30" s="98">
        <f t="shared" si="19"/>
        <v>0</v>
      </c>
      <c r="P30" s="113">
        <f t="shared" si="20"/>
        <v>0</v>
      </c>
      <c r="Q30" s="113">
        <f t="shared" si="21"/>
        <v>0</v>
      </c>
      <c r="R30" s="115">
        <f t="shared" si="22"/>
        <v>0</v>
      </c>
      <c r="S30" s="99">
        <f t="shared" si="23"/>
        <v>0</v>
      </c>
      <c r="T30" s="99">
        <f t="shared" si="25"/>
        <v>0</v>
      </c>
      <c r="U30" s="330"/>
      <c r="V30" s="330"/>
      <c r="W30" s="333"/>
      <c r="X30" s="336"/>
    </row>
    <row r="31" spans="1:26" ht="30" customHeight="1" x14ac:dyDescent="0.25">
      <c r="A31" s="91">
        <v>5</v>
      </c>
      <c r="B31" s="92"/>
      <c r="C31" s="93"/>
      <c r="D31" s="93"/>
      <c r="E31" s="94"/>
      <c r="F31" s="95">
        <f t="shared" si="13"/>
        <v>0</v>
      </c>
      <c r="G31" s="96">
        <f t="shared" si="15"/>
        <v>0</v>
      </c>
      <c r="H31" s="97">
        <f t="shared" si="24"/>
        <v>0</v>
      </c>
      <c r="I31" s="97">
        <f t="shared" si="16"/>
        <v>0</v>
      </c>
      <c r="J31" s="324"/>
      <c r="K31" s="109">
        <f t="shared" si="17"/>
        <v>0</v>
      </c>
      <c r="L31" s="110">
        <f t="shared" si="18"/>
        <v>0</v>
      </c>
      <c r="M31" s="110">
        <f t="shared" si="14"/>
        <v>0</v>
      </c>
      <c r="N31" s="327"/>
      <c r="O31" s="98">
        <f t="shared" si="19"/>
        <v>0</v>
      </c>
      <c r="P31" s="113">
        <f t="shared" si="20"/>
        <v>0</v>
      </c>
      <c r="Q31" s="113">
        <f t="shared" si="21"/>
        <v>0</v>
      </c>
      <c r="R31" s="115">
        <f t="shared" si="22"/>
        <v>0</v>
      </c>
      <c r="S31" s="99">
        <f t="shared" si="23"/>
        <v>0</v>
      </c>
      <c r="T31" s="99">
        <f t="shared" si="25"/>
        <v>0</v>
      </c>
      <c r="U31" s="330"/>
      <c r="V31" s="330"/>
      <c r="W31" s="333"/>
      <c r="X31" s="336"/>
    </row>
    <row r="32" spans="1:26" ht="30" customHeight="1" x14ac:dyDescent="0.25">
      <c r="A32" s="91">
        <v>6</v>
      </c>
      <c r="B32" s="92"/>
      <c r="C32" s="93"/>
      <c r="D32" s="93"/>
      <c r="E32" s="94"/>
      <c r="F32" s="95">
        <f t="shared" si="13"/>
        <v>0</v>
      </c>
      <c r="G32" s="96">
        <f t="shared" si="15"/>
        <v>0</v>
      </c>
      <c r="H32" s="97">
        <f t="shared" si="24"/>
        <v>0</v>
      </c>
      <c r="I32" s="97">
        <f t="shared" si="16"/>
        <v>0</v>
      </c>
      <c r="J32" s="324"/>
      <c r="K32" s="109">
        <f t="shared" si="17"/>
        <v>0</v>
      </c>
      <c r="L32" s="110">
        <f t="shared" si="18"/>
        <v>0</v>
      </c>
      <c r="M32" s="110">
        <f t="shared" si="14"/>
        <v>0</v>
      </c>
      <c r="N32" s="327"/>
      <c r="O32" s="98">
        <f t="shared" si="19"/>
        <v>0</v>
      </c>
      <c r="P32" s="113">
        <f t="shared" si="20"/>
        <v>0</v>
      </c>
      <c r="Q32" s="113">
        <f t="shared" si="21"/>
        <v>0</v>
      </c>
      <c r="R32" s="115">
        <f t="shared" si="22"/>
        <v>0</v>
      </c>
      <c r="S32" s="99">
        <f t="shared" si="23"/>
        <v>0</v>
      </c>
      <c r="T32" s="99">
        <f t="shared" si="25"/>
        <v>0</v>
      </c>
      <c r="U32" s="330"/>
      <c r="V32" s="330"/>
      <c r="W32" s="333"/>
      <c r="X32" s="336"/>
    </row>
    <row r="33" spans="1:24" ht="30" customHeight="1" x14ac:dyDescent="0.25">
      <c r="A33" s="91">
        <v>7</v>
      </c>
      <c r="B33" s="92"/>
      <c r="C33" s="93"/>
      <c r="D33" s="93"/>
      <c r="E33" s="94"/>
      <c r="F33" s="95">
        <f t="shared" si="13"/>
        <v>0</v>
      </c>
      <c r="G33" s="96">
        <f t="shared" si="15"/>
        <v>0</v>
      </c>
      <c r="H33" s="97">
        <f t="shared" si="24"/>
        <v>0</v>
      </c>
      <c r="I33" s="97">
        <f t="shared" si="16"/>
        <v>0</v>
      </c>
      <c r="J33" s="324"/>
      <c r="K33" s="109">
        <f t="shared" si="17"/>
        <v>0</v>
      </c>
      <c r="L33" s="110">
        <f t="shared" si="18"/>
        <v>0</v>
      </c>
      <c r="M33" s="110">
        <f t="shared" si="14"/>
        <v>0</v>
      </c>
      <c r="N33" s="327"/>
      <c r="O33" s="98">
        <f t="shared" si="19"/>
        <v>0</v>
      </c>
      <c r="P33" s="113">
        <f t="shared" si="20"/>
        <v>0</v>
      </c>
      <c r="Q33" s="113">
        <f t="shared" si="21"/>
        <v>0</v>
      </c>
      <c r="R33" s="115">
        <f t="shared" si="22"/>
        <v>0</v>
      </c>
      <c r="S33" s="99">
        <f t="shared" si="23"/>
        <v>0</v>
      </c>
      <c r="T33" s="99">
        <f t="shared" si="25"/>
        <v>0</v>
      </c>
      <c r="U33" s="330"/>
      <c r="V33" s="330"/>
      <c r="W33" s="333"/>
      <c r="X33" s="336"/>
    </row>
    <row r="34" spans="1:24" ht="30" customHeight="1" x14ac:dyDescent="0.25">
      <c r="A34" s="91">
        <v>8</v>
      </c>
      <c r="B34" s="92"/>
      <c r="C34" s="93"/>
      <c r="D34" s="93"/>
      <c r="E34" s="94"/>
      <c r="F34" s="95">
        <f t="shared" si="13"/>
        <v>0</v>
      </c>
      <c r="G34" s="96">
        <f t="shared" si="15"/>
        <v>0</v>
      </c>
      <c r="H34" s="97">
        <f t="shared" si="24"/>
        <v>0</v>
      </c>
      <c r="I34" s="97">
        <f t="shared" si="16"/>
        <v>0</v>
      </c>
      <c r="J34" s="324"/>
      <c r="K34" s="109">
        <f t="shared" si="17"/>
        <v>0</v>
      </c>
      <c r="L34" s="110">
        <f t="shared" si="18"/>
        <v>0</v>
      </c>
      <c r="M34" s="110">
        <f t="shared" si="14"/>
        <v>0</v>
      </c>
      <c r="N34" s="327"/>
      <c r="O34" s="98">
        <f t="shared" si="19"/>
        <v>0</v>
      </c>
      <c r="P34" s="113">
        <f t="shared" si="20"/>
        <v>0</v>
      </c>
      <c r="Q34" s="113">
        <f t="shared" si="21"/>
        <v>0</v>
      </c>
      <c r="R34" s="115">
        <f t="shared" si="22"/>
        <v>0</v>
      </c>
      <c r="S34" s="99">
        <f t="shared" si="23"/>
        <v>0</v>
      </c>
      <c r="T34" s="99">
        <f t="shared" si="25"/>
        <v>0</v>
      </c>
      <c r="U34" s="330"/>
      <c r="V34" s="330"/>
      <c r="W34" s="333"/>
      <c r="X34" s="336"/>
    </row>
    <row r="35" spans="1:24" ht="30" customHeight="1" x14ac:dyDescent="0.25">
      <c r="A35" s="91">
        <v>9</v>
      </c>
      <c r="B35" s="92"/>
      <c r="C35" s="93"/>
      <c r="D35" s="93"/>
      <c r="E35" s="94"/>
      <c r="F35" s="95">
        <f t="shared" si="13"/>
        <v>0</v>
      </c>
      <c r="G35" s="96">
        <f t="shared" si="15"/>
        <v>0</v>
      </c>
      <c r="H35" s="97">
        <f t="shared" si="24"/>
        <v>0</v>
      </c>
      <c r="I35" s="97">
        <f t="shared" si="16"/>
        <v>0</v>
      </c>
      <c r="J35" s="324"/>
      <c r="K35" s="109">
        <f t="shared" si="17"/>
        <v>0</v>
      </c>
      <c r="L35" s="110">
        <f t="shared" si="18"/>
        <v>0</v>
      </c>
      <c r="M35" s="110">
        <f t="shared" si="14"/>
        <v>0</v>
      </c>
      <c r="N35" s="327"/>
      <c r="O35" s="98">
        <f t="shared" si="19"/>
        <v>0</v>
      </c>
      <c r="P35" s="113">
        <f t="shared" si="20"/>
        <v>0</v>
      </c>
      <c r="Q35" s="113">
        <f t="shared" si="21"/>
        <v>0</v>
      </c>
      <c r="R35" s="115">
        <f t="shared" si="22"/>
        <v>0</v>
      </c>
      <c r="S35" s="99">
        <f t="shared" si="23"/>
        <v>0</v>
      </c>
      <c r="T35" s="99">
        <f t="shared" si="25"/>
        <v>0</v>
      </c>
      <c r="U35" s="330"/>
      <c r="V35" s="330"/>
      <c r="W35" s="333"/>
      <c r="X35" s="336"/>
    </row>
    <row r="36" spans="1:24" ht="30" customHeight="1" x14ac:dyDescent="0.25">
      <c r="A36" s="91">
        <v>10</v>
      </c>
      <c r="B36" s="92"/>
      <c r="C36" s="93"/>
      <c r="D36" s="93"/>
      <c r="E36" s="94"/>
      <c r="F36" s="95">
        <f t="shared" si="13"/>
        <v>0</v>
      </c>
      <c r="G36" s="96">
        <f t="shared" si="15"/>
        <v>0</v>
      </c>
      <c r="H36" s="97">
        <f t="shared" si="24"/>
        <v>0</v>
      </c>
      <c r="I36" s="97">
        <f t="shared" si="16"/>
        <v>0</v>
      </c>
      <c r="J36" s="324"/>
      <c r="K36" s="109">
        <f t="shared" si="17"/>
        <v>0</v>
      </c>
      <c r="L36" s="110">
        <f t="shared" si="18"/>
        <v>0</v>
      </c>
      <c r="M36" s="110">
        <f t="shared" si="14"/>
        <v>0</v>
      </c>
      <c r="N36" s="327"/>
      <c r="O36" s="98">
        <f t="shared" si="19"/>
        <v>0</v>
      </c>
      <c r="P36" s="113">
        <f t="shared" si="20"/>
        <v>0</v>
      </c>
      <c r="Q36" s="113">
        <f t="shared" si="21"/>
        <v>0</v>
      </c>
      <c r="R36" s="115">
        <f t="shared" si="22"/>
        <v>0</v>
      </c>
      <c r="S36" s="99">
        <f t="shared" si="23"/>
        <v>0</v>
      </c>
      <c r="T36" s="99">
        <f t="shared" si="25"/>
        <v>0</v>
      </c>
      <c r="U36" s="330"/>
      <c r="V36" s="330"/>
      <c r="W36" s="333"/>
      <c r="X36" s="336"/>
    </row>
    <row r="37" spans="1:24" ht="30" customHeight="1" x14ac:dyDescent="0.25">
      <c r="A37" s="91">
        <v>11</v>
      </c>
      <c r="B37" s="92"/>
      <c r="C37" s="93"/>
      <c r="D37" s="93"/>
      <c r="E37" s="94"/>
      <c r="F37" s="95">
        <f t="shared" si="13"/>
        <v>0</v>
      </c>
      <c r="G37" s="96">
        <f t="shared" si="15"/>
        <v>0</v>
      </c>
      <c r="H37" s="97">
        <f t="shared" si="24"/>
        <v>0</v>
      </c>
      <c r="I37" s="97">
        <f t="shared" si="16"/>
        <v>0</v>
      </c>
      <c r="J37" s="324"/>
      <c r="K37" s="109">
        <f t="shared" si="17"/>
        <v>0</v>
      </c>
      <c r="L37" s="110">
        <f t="shared" si="18"/>
        <v>0</v>
      </c>
      <c r="M37" s="110">
        <f t="shared" si="14"/>
        <v>0</v>
      </c>
      <c r="N37" s="327"/>
      <c r="O37" s="98">
        <f t="shared" si="19"/>
        <v>0</v>
      </c>
      <c r="P37" s="113">
        <f t="shared" si="20"/>
        <v>0</v>
      </c>
      <c r="Q37" s="113">
        <f t="shared" si="21"/>
        <v>0</v>
      </c>
      <c r="R37" s="115">
        <f t="shared" si="22"/>
        <v>0</v>
      </c>
      <c r="S37" s="99">
        <f t="shared" si="23"/>
        <v>0</v>
      </c>
      <c r="T37" s="99">
        <f t="shared" si="25"/>
        <v>0</v>
      </c>
      <c r="U37" s="330"/>
      <c r="V37" s="330"/>
      <c r="W37" s="333"/>
      <c r="X37" s="336"/>
    </row>
    <row r="38" spans="1:24" ht="30" customHeight="1" thickBot="1" x14ac:dyDescent="0.3">
      <c r="A38" s="100">
        <v>12</v>
      </c>
      <c r="B38" s="101"/>
      <c r="C38" s="102"/>
      <c r="D38" s="102"/>
      <c r="E38" s="103"/>
      <c r="F38" s="104">
        <f t="shared" si="13"/>
        <v>0</v>
      </c>
      <c r="G38" s="105">
        <f t="shared" si="15"/>
        <v>0</v>
      </c>
      <c r="H38" s="106">
        <f t="shared" si="24"/>
        <v>0</v>
      </c>
      <c r="I38" s="106">
        <f t="shared" si="16"/>
        <v>0</v>
      </c>
      <c r="J38" s="325"/>
      <c r="K38" s="111">
        <f t="shared" si="17"/>
        <v>0</v>
      </c>
      <c r="L38" s="112">
        <f t="shared" si="18"/>
        <v>0</v>
      </c>
      <c r="M38" s="112">
        <f t="shared" si="14"/>
        <v>0</v>
      </c>
      <c r="N38" s="328"/>
      <c r="O38" s="107">
        <f>IF(C38=0,0,G38*D38*60*3.78*1.15)</f>
        <v>0</v>
      </c>
      <c r="P38" s="114">
        <f t="shared" si="20"/>
        <v>0</v>
      </c>
      <c r="Q38" s="114">
        <f t="shared" si="21"/>
        <v>0</v>
      </c>
      <c r="R38" s="116">
        <f t="shared" si="22"/>
        <v>0</v>
      </c>
      <c r="S38" s="108">
        <f t="shared" si="23"/>
        <v>0</v>
      </c>
      <c r="T38" s="108">
        <f t="shared" si="25"/>
        <v>0</v>
      </c>
      <c r="U38" s="331"/>
      <c r="V38" s="331"/>
      <c r="W38" s="334"/>
      <c r="X38" s="337"/>
    </row>
    <row r="39" spans="1:24" ht="22.5" customHeight="1" x14ac:dyDescent="0.25"/>
    <row r="40" spans="1:24" ht="60" customHeight="1" x14ac:dyDescent="0.25">
      <c r="B40" s="307" t="s">
        <v>364</v>
      </c>
      <c r="C40" s="308"/>
      <c r="D40" s="308"/>
    </row>
    <row r="41" spans="1:24" ht="22.5" customHeight="1" x14ac:dyDescent="0.25"/>
    <row r="42" spans="1:24" ht="22.5" customHeight="1" thickBot="1" x14ac:dyDescent="0.3"/>
    <row r="43" spans="1:24" ht="40.5" customHeight="1" thickBot="1" x14ac:dyDescent="0.3">
      <c r="A43" s="338" t="s">
        <v>334</v>
      </c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40"/>
    </row>
    <row r="44" spans="1:24" ht="37.5" customHeight="1" thickBot="1" x14ac:dyDescent="0.3">
      <c r="A44" s="65"/>
      <c r="B44" s="341" t="s">
        <v>352</v>
      </c>
      <c r="C44" s="342"/>
      <c r="D44" s="342"/>
      <c r="E44" s="343"/>
      <c r="F44" s="341" t="s">
        <v>353</v>
      </c>
      <c r="G44" s="342"/>
      <c r="H44" s="342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3"/>
    </row>
    <row r="45" spans="1:24" ht="49.5" customHeight="1" thickBot="1" x14ac:dyDescent="0.3">
      <c r="A45" s="66"/>
      <c r="B45" s="311" t="s">
        <v>357</v>
      </c>
      <c r="C45" s="312"/>
      <c r="D45" s="312"/>
      <c r="E45" s="313"/>
      <c r="F45" s="67" t="s">
        <v>335</v>
      </c>
      <c r="G45" s="314" t="s">
        <v>355</v>
      </c>
      <c r="H45" s="315"/>
      <c r="I45" s="315"/>
      <c r="J45" s="316"/>
      <c r="K45" s="317" t="s">
        <v>356</v>
      </c>
      <c r="L45" s="318"/>
      <c r="M45" s="318"/>
      <c r="N45" s="319"/>
      <c r="O45" s="320" t="s">
        <v>333</v>
      </c>
      <c r="P45" s="321"/>
      <c r="Q45" s="321"/>
      <c r="R45" s="321"/>
      <c r="S45" s="321"/>
      <c r="T45" s="321"/>
      <c r="U45" s="321"/>
      <c r="V45" s="321"/>
      <c r="W45" s="321"/>
      <c r="X45" s="322"/>
    </row>
    <row r="46" spans="1:24" ht="99.75" customHeight="1" thickBot="1" x14ac:dyDescent="0.3">
      <c r="A46" s="68" t="s">
        <v>330</v>
      </c>
      <c r="B46" s="69" t="s">
        <v>331</v>
      </c>
      <c r="C46" s="70" t="s">
        <v>336</v>
      </c>
      <c r="D46" s="70" t="s">
        <v>337</v>
      </c>
      <c r="E46" s="71" t="s">
        <v>338</v>
      </c>
      <c r="F46" s="72" t="s">
        <v>331</v>
      </c>
      <c r="G46" s="73" t="s">
        <v>339</v>
      </c>
      <c r="H46" s="74" t="s">
        <v>366</v>
      </c>
      <c r="I46" s="74" t="s">
        <v>365</v>
      </c>
      <c r="J46" s="75" t="s">
        <v>341</v>
      </c>
      <c r="K46" s="76" t="s">
        <v>363</v>
      </c>
      <c r="L46" s="77" t="s">
        <v>340</v>
      </c>
      <c r="M46" s="78" t="s">
        <v>516</v>
      </c>
      <c r="N46" s="79" t="s">
        <v>332</v>
      </c>
      <c r="O46" s="80" t="s">
        <v>359</v>
      </c>
      <c r="P46" s="309" t="s">
        <v>361</v>
      </c>
      <c r="Q46" s="310"/>
      <c r="R46" s="81" t="s">
        <v>358</v>
      </c>
      <c r="S46" s="81" t="s">
        <v>349</v>
      </c>
      <c r="T46" s="81" t="s">
        <v>349</v>
      </c>
      <c r="U46" s="81" t="s">
        <v>349</v>
      </c>
      <c r="V46" s="81" t="s">
        <v>349</v>
      </c>
      <c r="W46" s="81" t="s">
        <v>360</v>
      </c>
      <c r="X46" s="82" t="s">
        <v>362</v>
      </c>
    </row>
    <row r="47" spans="1:24" ht="30" customHeight="1" x14ac:dyDescent="0.25">
      <c r="A47" s="83" t="s">
        <v>348</v>
      </c>
      <c r="B47" s="84" t="s">
        <v>342</v>
      </c>
      <c r="C47" s="85" t="s">
        <v>344</v>
      </c>
      <c r="D47" s="85" t="s">
        <v>345</v>
      </c>
      <c r="E47" s="86" t="s">
        <v>346</v>
      </c>
      <c r="F47" s="87" t="s">
        <v>343</v>
      </c>
      <c r="G47" s="88" t="s">
        <v>347</v>
      </c>
      <c r="H47" s="89" t="s">
        <v>347</v>
      </c>
      <c r="I47" s="89" t="s">
        <v>347</v>
      </c>
      <c r="J47" s="90" t="s">
        <v>347</v>
      </c>
      <c r="K47" s="88" t="s">
        <v>354</v>
      </c>
      <c r="L47" s="89" t="s">
        <v>354</v>
      </c>
      <c r="M47" s="89" t="s">
        <v>354</v>
      </c>
      <c r="N47" s="90" t="s">
        <v>354</v>
      </c>
      <c r="O47" s="88" t="s">
        <v>350</v>
      </c>
      <c r="P47" s="89" t="s">
        <v>350</v>
      </c>
      <c r="Q47" s="89" t="s">
        <v>351</v>
      </c>
      <c r="R47" s="89" t="s">
        <v>344</v>
      </c>
      <c r="S47" s="89" t="s">
        <v>350</v>
      </c>
      <c r="T47" s="89" t="s">
        <v>351</v>
      </c>
      <c r="U47" s="89" t="s">
        <v>350</v>
      </c>
      <c r="V47" s="89" t="s">
        <v>351</v>
      </c>
      <c r="W47" s="89" t="s">
        <v>350</v>
      </c>
      <c r="X47" s="90" t="s">
        <v>351</v>
      </c>
    </row>
    <row r="48" spans="1:24" ht="30" customHeight="1" x14ac:dyDescent="0.25">
      <c r="A48" s="91">
        <v>1</v>
      </c>
      <c r="B48" s="92"/>
      <c r="C48" s="93"/>
      <c r="D48" s="93"/>
      <c r="E48" s="94"/>
      <c r="F48" s="95">
        <f t="shared" ref="F48:F59" si="26">B48*0.8</f>
        <v>0</v>
      </c>
      <c r="G48" s="96">
        <f>F48*0.07/60</f>
        <v>0</v>
      </c>
      <c r="H48" s="97">
        <f>G48*4</f>
        <v>0</v>
      </c>
      <c r="I48" s="97">
        <f>H48*C48</f>
        <v>0</v>
      </c>
      <c r="J48" s="323">
        <f>SUM(I48:I59)</f>
        <v>0</v>
      </c>
      <c r="K48" s="109">
        <f>IF(AND(G48&gt;0,G48&lt;=5),25,IF(AND(G48&gt;5,G48&lt;=10),32,IF(AND(G48&gt;10,G48&lt;=15),40,IF(AND(G48&gt;15,G48&lt;=30),50,IF(AND(G48&gt;30,G48&lt;=50),65,IF(AND(G48&gt;50,G48&lt;=90),80,IF(AND(G48&gt;90,G48&lt;=190),100,IF(AND(G48&gt;190,G48&lt;=550),150,0))))))))</f>
        <v>0</v>
      </c>
      <c r="L48" s="110">
        <f>IF(AND(H48&gt;0,H48&lt;=5),25,IF(AND(H48&gt;5,H48&lt;=10),32,IF(AND(H48&gt;10,H48&lt;=15),40,IF(AND(H48&gt;15,H48&lt;=30),50,IF(AND(H48&gt;30,H48&lt;=50),65,IF(AND(H48&gt;50,H48&lt;=90),80,IF(AND(H48&gt;90,H48&lt;=190),100,IF(AND(H48&gt;190,H48&lt;=550),150,0))))))))</f>
        <v>0</v>
      </c>
      <c r="M48" s="110">
        <f t="shared" ref="M48:M59" si="27">IF(AND(T48&gt;0,T48&lt;10001),50,IF(AND(T48&gt;10000,T48&lt;20001),65,IF(AND(T48&gt;20000,T48&lt;35001),80,0)))</f>
        <v>0</v>
      </c>
      <c r="N48" s="326">
        <f>IF(AND(J48&gt;0,J48&lt;=5),25,IF(AND(J48&gt;5,J48&lt;=10),32,IF(AND(J48&gt;10,J48&lt;=15),40,IF(AND(J48&gt;15,J48&lt;=30),50,IF(AND(J48&gt;30,J48&lt;=50),65,IF(AND(J48&gt;50,J48&lt;=90),80,IF(AND(J48&gt;90,J48&lt;=190),100,IF(AND(J48&gt;190,J48&lt;=550),150,0))))))))</f>
        <v>0</v>
      </c>
      <c r="O48" s="98">
        <f>IF(C48=0,0,G48*D48*60*3.78*1.15)</f>
        <v>0</v>
      </c>
      <c r="P48" s="113">
        <f>CEILING(O48,500)</f>
        <v>0</v>
      </c>
      <c r="Q48" s="113">
        <f>O48/3.78</f>
        <v>0</v>
      </c>
      <c r="R48" s="115">
        <f>C48</f>
        <v>0</v>
      </c>
      <c r="S48" s="99">
        <f>O48*E48*R48</f>
        <v>0</v>
      </c>
      <c r="T48" s="99">
        <f>S48/3.78</f>
        <v>0</v>
      </c>
      <c r="U48" s="329">
        <f>SUM(S48:S59)</f>
        <v>0</v>
      </c>
      <c r="V48" s="329">
        <f>SUM(T48:T59)</f>
        <v>0</v>
      </c>
      <c r="W48" s="332">
        <f>CEILING(U48,1000)</f>
        <v>0</v>
      </c>
      <c r="X48" s="335">
        <f>IF(V48=0,0,INDEX($Z$9:$Z$27,MATCH(V48,$Z$9:$Z$27,-1)))</f>
        <v>0</v>
      </c>
    </row>
    <row r="49" spans="1:24" ht="30" customHeight="1" x14ac:dyDescent="0.25">
      <c r="A49" s="91">
        <v>2</v>
      </c>
      <c r="B49" s="92"/>
      <c r="C49" s="93"/>
      <c r="D49" s="93"/>
      <c r="E49" s="94"/>
      <c r="F49" s="95">
        <f t="shared" si="26"/>
        <v>0</v>
      </c>
      <c r="G49" s="96">
        <f t="shared" ref="G49:G59" si="28">F49*0.07/60</f>
        <v>0</v>
      </c>
      <c r="H49" s="97">
        <f>G49*4</f>
        <v>0</v>
      </c>
      <c r="I49" s="97">
        <f t="shared" ref="I49:I59" si="29">H49*C49</f>
        <v>0</v>
      </c>
      <c r="J49" s="324"/>
      <c r="K49" s="109">
        <f t="shared" ref="K49:K59" si="30">IF(AND(G49&gt;0,G49&lt;=5),25,IF(AND(G49&gt;5,G49&lt;=10),32,IF(AND(G49&gt;10,G49&lt;=15),40,IF(AND(G49&gt;15,G49&lt;=30),50,IF(AND(G49&gt;30,G49&lt;=50),65,IF(AND(G49&gt;50,G49&lt;=90),80,IF(AND(G49&gt;90,G49&lt;=190),100,IF(AND(G49&gt;190,G49&lt;=550),150,0))))))))</f>
        <v>0</v>
      </c>
      <c r="L49" s="110">
        <f t="shared" ref="L49:L59" si="31">IF(AND(H49&gt;0,H49&lt;=5),25,IF(AND(H49&gt;5,H49&lt;=10),32,IF(AND(H49&gt;10,H49&lt;=15),40,IF(AND(H49&gt;15,H49&lt;=30),50,IF(AND(H49&gt;30,H49&lt;=50),65,IF(AND(H49&gt;50,H49&lt;=90),80,IF(AND(H49&gt;90,H49&lt;=190),100,IF(AND(H49&gt;190,H49&lt;=550),150,0))))))))</f>
        <v>0</v>
      </c>
      <c r="M49" s="110">
        <f t="shared" si="27"/>
        <v>0</v>
      </c>
      <c r="N49" s="327"/>
      <c r="O49" s="98">
        <f t="shared" ref="O49:O58" si="32">IF(C49=0,0,G49*D49*60*3.78*1.15)</f>
        <v>0</v>
      </c>
      <c r="P49" s="113">
        <f t="shared" ref="P49:P59" si="33">CEILING(O49,500)</f>
        <v>0</v>
      </c>
      <c r="Q49" s="113">
        <f t="shared" ref="Q49:Q59" si="34">O49/3.78</f>
        <v>0</v>
      </c>
      <c r="R49" s="115">
        <f t="shared" ref="R49:R59" si="35">C49</f>
        <v>0</v>
      </c>
      <c r="S49" s="99">
        <f t="shared" ref="S49:S59" si="36">O49*E49</f>
        <v>0</v>
      </c>
      <c r="T49" s="99">
        <f>S49/3.78</f>
        <v>0</v>
      </c>
      <c r="U49" s="330"/>
      <c r="V49" s="330"/>
      <c r="W49" s="333"/>
      <c r="X49" s="336"/>
    </row>
    <row r="50" spans="1:24" ht="30" customHeight="1" x14ac:dyDescent="0.25">
      <c r="A50" s="91">
        <v>3</v>
      </c>
      <c r="B50" s="92"/>
      <c r="C50" s="93"/>
      <c r="D50" s="93"/>
      <c r="E50" s="94"/>
      <c r="F50" s="95">
        <f t="shared" si="26"/>
        <v>0</v>
      </c>
      <c r="G50" s="96">
        <f t="shared" si="28"/>
        <v>0</v>
      </c>
      <c r="H50" s="97">
        <f t="shared" ref="H50:H59" si="37">G50*4</f>
        <v>0</v>
      </c>
      <c r="I50" s="97">
        <f t="shared" si="29"/>
        <v>0</v>
      </c>
      <c r="J50" s="324"/>
      <c r="K50" s="109">
        <f t="shared" si="30"/>
        <v>0</v>
      </c>
      <c r="L50" s="110">
        <f t="shared" si="31"/>
        <v>0</v>
      </c>
      <c r="M50" s="110">
        <f t="shared" si="27"/>
        <v>0</v>
      </c>
      <c r="N50" s="327"/>
      <c r="O50" s="98">
        <f t="shared" si="32"/>
        <v>0</v>
      </c>
      <c r="P50" s="113">
        <f t="shared" si="33"/>
        <v>0</v>
      </c>
      <c r="Q50" s="113">
        <f t="shared" si="34"/>
        <v>0</v>
      </c>
      <c r="R50" s="115">
        <f t="shared" si="35"/>
        <v>0</v>
      </c>
      <c r="S50" s="99">
        <f t="shared" si="36"/>
        <v>0</v>
      </c>
      <c r="T50" s="99">
        <f t="shared" ref="T50:T59" si="38">Q50*E50</f>
        <v>0</v>
      </c>
      <c r="U50" s="330"/>
      <c r="V50" s="330"/>
      <c r="W50" s="333"/>
      <c r="X50" s="336"/>
    </row>
    <row r="51" spans="1:24" ht="30" customHeight="1" x14ac:dyDescent="0.25">
      <c r="A51" s="91">
        <v>4</v>
      </c>
      <c r="B51" s="92"/>
      <c r="C51" s="93"/>
      <c r="D51" s="93"/>
      <c r="E51" s="94"/>
      <c r="F51" s="95">
        <f t="shared" si="26"/>
        <v>0</v>
      </c>
      <c r="G51" s="96">
        <f t="shared" si="28"/>
        <v>0</v>
      </c>
      <c r="H51" s="97">
        <f t="shared" si="37"/>
        <v>0</v>
      </c>
      <c r="I51" s="97">
        <f t="shared" si="29"/>
        <v>0</v>
      </c>
      <c r="J51" s="324"/>
      <c r="K51" s="109">
        <f t="shared" si="30"/>
        <v>0</v>
      </c>
      <c r="L51" s="110">
        <f t="shared" si="31"/>
        <v>0</v>
      </c>
      <c r="M51" s="110">
        <f t="shared" si="27"/>
        <v>0</v>
      </c>
      <c r="N51" s="327"/>
      <c r="O51" s="98">
        <f t="shared" si="32"/>
        <v>0</v>
      </c>
      <c r="P51" s="113">
        <f t="shared" si="33"/>
        <v>0</v>
      </c>
      <c r="Q51" s="113">
        <f t="shared" si="34"/>
        <v>0</v>
      </c>
      <c r="R51" s="115">
        <f t="shared" si="35"/>
        <v>0</v>
      </c>
      <c r="S51" s="99">
        <f t="shared" si="36"/>
        <v>0</v>
      </c>
      <c r="T51" s="99">
        <f t="shared" si="38"/>
        <v>0</v>
      </c>
      <c r="U51" s="330"/>
      <c r="V51" s="330"/>
      <c r="W51" s="333"/>
      <c r="X51" s="336"/>
    </row>
    <row r="52" spans="1:24" ht="30" customHeight="1" x14ac:dyDescent="0.25">
      <c r="A52" s="91">
        <v>5</v>
      </c>
      <c r="B52" s="92"/>
      <c r="C52" s="93"/>
      <c r="D52" s="93"/>
      <c r="E52" s="94"/>
      <c r="F52" s="95">
        <f t="shared" si="26"/>
        <v>0</v>
      </c>
      <c r="G52" s="96">
        <f t="shared" si="28"/>
        <v>0</v>
      </c>
      <c r="H52" s="97">
        <f t="shared" si="37"/>
        <v>0</v>
      </c>
      <c r="I52" s="97">
        <f t="shared" si="29"/>
        <v>0</v>
      </c>
      <c r="J52" s="324"/>
      <c r="K52" s="109">
        <f t="shared" si="30"/>
        <v>0</v>
      </c>
      <c r="L52" s="110">
        <f t="shared" si="31"/>
        <v>0</v>
      </c>
      <c r="M52" s="110">
        <f t="shared" si="27"/>
        <v>0</v>
      </c>
      <c r="N52" s="327"/>
      <c r="O52" s="98">
        <f t="shared" si="32"/>
        <v>0</v>
      </c>
      <c r="P52" s="113">
        <f t="shared" si="33"/>
        <v>0</v>
      </c>
      <c r="Q52" s="113">
        <f t="shared" si="34"/>
        <v>0</v>
      </c>
      <c r="R52" s="115">
        <f t="shared" si="35"/>
        <v>0</v>
      </c>
      <c r="S52" s="99">
        <f t="shared" si="36"/>
        <v>0</v>
      </c>
      <c r="T52" s="99">
        <f t="shared" si="38"/>
        <v>0</v>
      </c>
      <c r="U52" s="330"/>
      <c r="V52" s="330"/>
      <c r="W52" s="333"/>
      <c r="X52" s="336"/>
    </row>
    <row r="53" spans="1:24" ht="30" customHeight="1" x14ac:dyDescent="0.25">
      <c r="A53" s="91">
        <v>6</v>
      </c>
      <c r="B53" s="92"/>
      <c r="C53" s="93"/>
      <c r="D53" s="93"/>
      <c r="E53" s="94"/>
      <c r="F53" s="95">
        <f t="shared" si="26"/>
        <v>0</v>
      </c>
      <c r="G53" s="96">
        <f t="shared" si="28"/>
        <v>0</v>
      </c>
      <c r="H53" s="97">
        <f t="shared" si="37"/>
        <v>0</v>
      </c>
      <c r="I53" s="97">
        <f t="shared" si="29"/>
        <v>0</v>
      </c>
      <c r="J53" s="324"/>
      <c r="K53" s="109">
        <f t="shared" si="30"/>
        <v>0</v>
      </c>
      <c r="L53" s="110">
        <f t="shared" si="31"/>
        <v>0</v>
      </c>
      <c r="M53" s="110">
        <f t="shared" si="27"/>
        <v>0</v>
      </c>
      <c r="N53" s="327"/>
      <c r="O53" s="98">
        <f t="shared" si="32"/>
        <v>0</v>
      </c>
      <c r="P53" s="113">
        <f t="shared" si="33"/>
        <v>0</v>
      </c>
      <c r="Q53" s="113">
        <f t="shared" si="34"/>
        <v>0</v>
      </c>
      <c r="R53" s="115">
        <f t="shared" si="35"/>
        <v>0</v>
      </c>
      <c r="S53" s="99">
        <f t="shared" si="36"/>
        <v>0</v>
      </c>
      <c r="T53" s="99">
        <f t="shared" si="38"/>
        <v>0</v>
      </c>
      <c r="U53" s="330"/>
      <c r="V53" s="330"/>
      <c r="W53" s="333"/>
      <c r="X53" s="336"/>
    </row>
    <row r="54" spans="1:24" ht="30" customHeight="1" x14ac:dyDescent="0.25">
      <c r="A54" s="91">
        <v>7</v>
      </c>
      <c r="B54" s="92"/>
      <c r="C54" s="93"/>
      <c r="D54" s="93"/>
      <c r="E54" s="94"/>
      <c r="F54" s="95">
        <f t="shared" si="26"/>
        <v>0</v>
      </c>
      <c r="G54" s="96">
        <f t="shared" si="28"/>
        <v>0</v>
      </c>
      <c r="H54" s="97">
        <f t="shared" si="37"/>
        <v>0</v>
      </c>
      <c r="I54" s="97">
        <f t="shared" si="29"/>
        <v>0</v>
      </c>
      <c r="J54" s="324"/>
      <c r="K54" s="109">
        <f t="shared" si="30"/>
        <v>0</v>
      </c>
      <c r="L54" s="110">
        <f t="shared" si="31"/>
        <v>0</v>
      </c>
      <c r="M54" s="110">
        <f t="shared" si="27"/>
        <v>0</v>
      </c>
      <c r="N54" s="327"/>
      <c r="O54" s="98">
        <f t="shared" si="32"/>
        <v>0</v>
      </c>
      <c r="P54" s="113">
        <f t="shared" si="33"/>
        <v>0</v>
      </c>
      <c r="Q54" s="113">
        <f t="shared" si="34"/>
        <v>0</v>
      </c>
      <c r="R54" s="115">
        <f t="shared" si="35"/>
        <v>0</v>
      </c>
      <c r="S54" s="99">
        <f t="shared" si="36"/>
        <v>0</v>
      </c>
      <c r="T54" s="99">
        <f t="shared" si="38"/>
        <v>0</v>
      </c>
      <c r="U54" s="330"/>
      <c r="V54" s="330"/>
      <c r="W54" s="333"/>
      <c r="X54" s="336"/>
    </row>
    <row r="55" spans="1:24" ht="30" customHeight="1" x14ac:dyDescent="0.25">
      <c r="A55" s="91">
        <v>8</v>
      </c>
      <c r="B55" s="92"/>
      <c r="C55" s="93"/>
      <c r="D55" s="93"/>
      <c r="E55" s="94"/>
      <c r="F55" s="95">
        <f t="shared" si="26"/>
        <v>0</v>
      </c>
      <c r="G55" s="96">
        <f t="shared" si="28"/>
        <v>0</v>
      </c>
      <c r="H55" s="97">
        <f t="shared" si="37"/>
        <v>0</v>
      </c>
      <c r="I55" s="97">
        <f t="shared" si="29"/>
        <v>0</v>
      </c>
      <c r="J55" s="324"/>
      <c r="K55" s="109">
        <f t="shared" si="30"/>
        <v>0</v>
      </c>
      <c r="L55" s="110">
        <f t="shared" si="31"/>
        <v>0</v>
      </c>
      <c r="M55" s="110">
        <f t="shared" si="27"/>
        <v>0</v>
      </c>
      <c r="N55" s="327"/>
      <c r="O55" s="98">
        <f t="shared" si="32"/>
        <v>0</v>
      </c>
      <c r="P55" s="113">
        <f t="shared" si="33"/>
        <v>0</v>
      </c>
      <c r="Q55" s="113">
        <f t="shared" si="34"/>
        <v>0</v>
      </c>
      <c r="R55" s="115">
        <f t="shared" si="35"/>
        <v>0</v>
      </c>
      <c r="S55" s="99">
        <f t="shared" si="36"/>
        <v>0</v>
      </c>
      <c r="T55" s="99">
        <f t="shared" si="38"/>
        <v>0</v>
      </c>
      <c r="U55" s="330"/>
      <c r="V55" s="330"/>
      <c r="W55" s="333"/>
      <c r="X55" s="336"/>
    </row>
    <row r="56" spans="1:24" ht="30" customHeight="1" x14ac:dyDescent="0.25">
      <c r="A56" s="91">
        <v>9</v>
      </c>
      <c r="B56" s="92"/>
      <c r="C56" s="93"/>
      <c r="D56" s="93"/>
      <c r="E56" s="94"/>
      <c r="F56" s="95">
        <f t="shared" si="26"/>
        <v>0</v>
      </c>
      <c r="G56" s="96">
        <f t="shared" si="28"/>
        <v>0</v>
      </c>
      <c r="H56" s="97">
        <f t="shared" si="37"/>
        <v>0</v>
      </c>
      <c r="I56" s="97">
        <f t="shared" si="29"/>
        <v>0</v>
      </c>
      <c r="J56" s="324"/>
      <c r="K56" s="109">
        <f t="shared" si="30"/>
        <v>0</v>
      </c>
      <c r="L56" s="110">
        <f t="shared" si="31"/>
        <v>0</v>
      </c>
      <c r="M56" s="110">
        <f t="shared" si="27"/>
        <v>0</v>
      </c>
      <c r="N56" s="327"/>
      <c r="O56" s="98">
        <f t="shared" si="32"/>
        <v>0</v>
      </c>
      <c r="P56" s="113">
        <f t="shared" si="33"/>
        <v>0</v>
      </c>
      <c r="Q56" s="113">
        <f t="shared" si="34"/>
        <v>0</v>
      </c>
      <c r="R56" s="115">
        <f t="shared" si="35"/>
        <v>0</v>
      </c>
      <c r="S56" s="99">
        <f t="shared" si="36"/>
        <v>0</v>
      </c>
      <c r="T56" s="99">
        <f t="shared" si="38"/>
        <v>0</v>
      </c>
      <c r="U56" s="330"/>
      <c r="V56" s="330"/>
      <c r="W56" s="333"/>
      <c r="X56" s="336"/>
    </row>
    <row r="57" spans="1:24" ht="30" customHeight="1" x14ac:dyDescent="0.25">
      <c r="A57" s="91">
        <v>10</v>
      </c>
      <c r="B57" s="92"/>
      <c r="C57" s="93"/>
      <c r="D57" s="93"/>
      <c r="E57" s="94"/>
      <c r="F57" s="95">
        <f t="shared" si="26"/>
        <v>0</v>
      </c>
      <c r="G57" s="96">
        <f t="shared" si="28"/>
        <v>0</v>
      </c>
      <c r="H57" s="97">
        <f t="shared" si="37"/>
        <v>0</v>
      </c>
      <c r="I57" s="97">
        <f t="shared" si="29"/>
        <v>0</v>
      </c>
      <c r="J57" s="324"/>
      <c r="K57" s="109">
        <f t="shared" si="30"/>
        <v>0</v>
      </c>
      <c r="L57" s="110">
        <f t="shared" si="31"/>
        <v>0</v>
      </c>
      <c r="M57" s="110">
        <f t="shared" si="27"/>
        <v>0</v>
      </c>
      <c r="N57" s="327"/>
      <c r="O57" s="98">
        <f t="shared" si="32"/>
        <v>0</v>
      </c>
      <c r="P57" s="113">
        <f t="shared" si="33"/>
        <v>0</v>
      </c>
      <c r="Q57" s="113">
        <f t="shared" si="34"/>
        <v>0</v>
      </c>
      <c r="R57" s="115">
        <f t="shared" si="35"/>
        <v>0</v>
      </c>
      <c r="S57" s="99">
        <f t="shared" si="36"/>
        <v>0</v>
      </c>
      <c r="T57" s="99">
        <f t="shared" si="38"/>
        <v>0</v>
      </c>
      <c r="U57" s="330"/>
      <c r="V57" s="330"/>
      <c r="W57" s="333"/>
      <c r="X57" s="336"/>
    </row>
    <row r="58" spans="1:24" ht="30" customHeight="1" x14ac:dyDescent="0.25">
      <c r="A58" s="91">
        <v>11</v>
      </c>
      <c r="B58" s="92"/>
      <c r="C58" s="93"/>
      <c r="D58" s="93"/>
      <c r="E58" s="94"/>
      <c r="F58" s="95">
        <f t="shared" si="26"/>
        <v>0</v>
      </c>
      <c r="G58" s="96">
        <f t="shared" si="28"/>
        <v>0</v>
      </c>
      <c r="H58" s="97">
        <f t="shared" si="37"/>
        <v>0</v>
      </c>
      <c r="I58" s="97">
        <f t="shared" si="29"/>
        <v>0</v>
      </c>
      <c r="J58" s="324"/>
      <c r="K58" s="109">
        <f t="shared" si="30"/>
        <v>0</v>
      </c>
      <c r="L58" s="110">
        <f t="shared" si="31"/>
        <v>0</v>
      </c>
      <c r="M58" s="110">
        <f t="shared" si="27"/>
        <v>0</v>
      </c>
      <c r="N58" s="327"/>
      <c r="O58" s="98">
        <f t="shared" si="32"/>
        <v>0</v>
      </c>
      <c r="P58" s="113">
        <f t="shared" si="33"/>
        <v>0</v>
      </c>
      <c r="Q58" s="113">
        <f t="shared" si="34"/>
        <v>0</v>
      </c>
      <c r="R58" s="115">
        <f t="shared" si="35"/>
        <v>0</v>
      </c>
      <c r="S58" s="99">
        <f t="shared" si="36"/>
        <v>0</v>
      </c>
      <c r="T58" s="99">
        <f t="shared" si="38"/>
        <v>0</v>
      </c>
      <c r="U58" s="330"/>
      <c r="V58" s="330"/>
      <c r="W58" s="333"/>
      <c r="X58" s="336"/>
    </row>
    <row r="59" spans="1:24" ht="30" customHeight="1" thickBot="1" x14ac:dyDescent="0.3">
      <c r="A59" s="100">
        <v>12</v>
      </c>
      <c r="B59" s="101"/>
      <c r="C59" s="102"/>
      <c r="D59" s="102"/>
      <c r="E59" s="103"/>
      <c r="F59" s="104">
        <f t="shared" si="26"/>
        <v>0</v>
      </c>
      <c r="G59" s="105">
        <f t="shared" si="28"/>
        <v>0</v>
      </c>
      <c r="H59" s="106">
        <f t="shared" si="37"/>
        <v>0</v>
      </c>
      <c r="I59" s="106">
        <f t="shared" si="29"/>
        <v>0</v>
      </c>
      <c r="J59" s="325"/>
      <c r="K59" s="111">
        <f t="shared" si="30"/>
        <v>0</v>
      </c>
      <c r="L59" s="112">
        <f t="shared" si="31"/>
        <v>0</v>
      </c>
      <c r="M59" s="112">
        <f t="shared" si="27"/>
        <v>0</v>
      </c>
      <c r="N59" s="328"/>
      <c r="O59" s="107">
        <f>IF(C59=0,0,G59*D59*60*3.78*1.15)</f>
        <v>0</v>
      </c>
      <c r="P59" s="114">
        <f t="shared" si="33"/>
        <v>0</v>
      </c>
      <c r="Q59" s="114">
        <f t="shared" si="34"/>
        <v>0</v>
      </c>
      <c r="R59" s="116">
        <f t="shared" si="35"/>
        <v>0</v>
      </c>
      <c r="S59" s="108">
        <f t="shared" si="36"/>
        <v>0</v>
      </c>
      <c r="T59" s="108">
        <f t="shared" si="38"/>
        <v>0</v>
      </c>
      <c r="U59" s="331"/>
      <c r="V59" s="331"/>
      <c r="W59" s="334"/>
      <c r="X59" s="337"/>
    </row>
    <row r="60" spans="1:24" ht="22.5" customHeight="1" x14ac:dyDescent="0.25"/>
    <row r="61" spans="1:24" ht="22.5" customHeight="1" x14ac:dyDescent="0.25"/>
    <row r="62" spans="1:24" ht="72" customHeight="1" x14ac:dyDescent="0.25">
      <c r="B62" s="307" t="s">
        <v>364</v>
      </c>
      <c r="C62" s="308"/>
      <c r="D62" s="308"/>
    </row>
    <row r="63" spans="1:24" ht="22.5" customHeight="1" x14ac:dyDescent="0.25"/>
    <row r="64" spans="1:24" ht="22.5" customHeight="1" x14ac:dyDescent="0.25"/>
    <row r="65" spans="1:24" ht="22.5" customHeight="1" x14ac:dyDescent="0.25"/>
    <row r="66" spans="1:24" ht="22.5" customHeight="1" thickBot="1" x14ac:dyDescent="0.3"/>
    <row r="67" spans="1:24" ht="40.5" customHeight="1" thickBot="1" x14ac:dyDescent="0.3">
      <c r="A67" s="338" t="s">
        <v>334</v>
      </c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40"/>
    </row>
    <row r="68" spans="1:24" ht="37.5" customHeight="1" thickBot="1" x14ac:dyDescent="0.3">
      <c r="A68" s="64"/>
      <c r="B68" s="341" t="s">
        <v>352</v>
      </c>
      <c r="C68" s="342"/>
      <c r="D68" s="342"/>
      <c r="E68" s="343"/>
      <c r="F68" s="341" t="s">
        <v>353</v>
      </c>
      <c r="G68" s="342"/>
      <c r="H68" s="342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3"/>
    </row>
    <row r="69" spans="1:24" ht="52.5" customHeight="1" thickBot="1" x14ac:dyDescent="0.3">
      <c r="A69" s="66"/>
      <c r="B69" s="311" t="s">
        <v>357</v>
      </c>
      <c r="C69" s="312"/>
      <c r="D69" s="312"/>
      <c r="E69" s="313"/>
      <c r="F69" s="67" t="s">
        <v>335</v>
      </c>
      <c r="G69" s="314" t="s">
        <v>355</v>
      </c>
      <c r="H69" s="315"/>
      <c r="I69" s="315"/>
      <c r="J69" s="316"/>
      <c r="K69" s="317" t="s">
        <v>356</v>
      </c>
      <c r="L69" s="318"/>
      <c r="M69" s="318"/>
      <c r="N69" s="319"/>
      <c r="O69" s="320" t="s">
        <v>333</v>
      </c>
      <c r="P69" s="321"/>
      <c r="Q69" s="321"/>
      <c r="R69" s="321"/>
      <c r="S69" s="321"/>
      <c r="T69" s="321"/>
      <c r="U69" s="321"/>
      <c r="V69" s="321"/>
      <c r="W69" s="321"/>
      <c r="X69" s="322"/>
    </row>
    <row r="70" spans="1:24" ht="99.75" customHeight="1" thickBot="1" x14ac:dyDescent="0.3">
      <c r="A70" s="68" t="s">
        <v>330</v>
      </c>
      <c r="B70" s="69" t="s">
        <v>331</v>
      </c>
      <c r="C70" s="70" t="s">
        <v>336</v>
      </c>
      <c r="D70" s="70" t="s">
        <v>337</v>
      </c>
      <c r="E70" s="71" t="s">
        <v>338</v>
      </c>
      <c r="F70" s="72" t="s">
        <v>331</v>
      </c>
      <c r="G70" s="73" t="s">
        <v>339</v>
      </c>
      <c r="H70" s="74" t="s">
        <v>366</v>
      </c>
      <c r="I70" s="74" t="s">
        <v>365</v>
      </c>
      <c r="J70" s="75" t="s">
        <v>341</v>
      </c>
      <c r="K70" s="76" t="s">
        <v>363</v>
      </c>
      <c r="L70" s="77" t="s">
        <v>340</v>
      </c>
      <c r="M70" s="78" t="s">
        <v>516</v>
      </c>
      <c r="N70" s="79" t="s">
        <v>332</v>
      </c>
      <c r="O70" s="80" t="s">
        <v>359</v>
      </c>
      <c r="P70" s="309" t="s">
        <v>361</v>
      </c>
      <c r="Q70" s="310"/>
      <c r="R70" s="81" t="s">
        <v>358</v>
      </c>
      <c r="S70" s="81" t="s">
        <v>349</v>
      </c>
      <c r="T70" s="81" t="s">
        <v>349</v>
      </c>
      <c r="U70" s="81" t="s">
        <v>349</v>
      </c>
      <c r="V70" s="81" t="s">
        <v>349</v>
      </c>
      <c r="W70" s="81" t="s">
        <v>360</v>
      </c>
      <c r="X70" s="82" t="s">
        <v>362</v>
      </c>
    </row>
    <row r="71" spans="1:24" ht="30" customHeight="1" x14ac:dyDescent="0.25">
      <c r="A71" s="83" t="s">
        <v>348</v>
      </c>
      <c r="B71" s="84" t="s">
        <v>342</v>
      </c>
      <c r="C71" s="85" t="s">
        <v>344</v>
      </c>
      <c r="D71" s="85" t="s">
        <v>345</v>
      </c>
      <c r="E71" s="86" t="s">
        <v>346</v>
      </c>
      <c r="F71" s="87" t="s">
        <v>343</v>
      </c>
      <c r="G71" s="88" t="s">
        <v>347</v>
      </c>
      <c r="H71" s="89" t="s">
        <v>347</v>
      </c>
      <c r="I71" s="89" t="s">
        <v>347</v>
      </c>
      <c r="J71" s="90" t="s">
        <v>347</v>
      </c>
      <c r="K71" s="88" t="s">
        <v>354</v>
      </c>
      <c r="L71" s="89" t="s">
        <v>354</v>
      </c>
      <c r="M71" s="89" t="s">
        <v>354</v>
      </c>
      <c r="N71" s="90" t="s">
        <v>354</v>
      </c>
      <c r="O71" s="88" t="s">
        <v>350</v>
      </c>
      <c r="P71" s="89" t="s">
        <v>350</v>
      </c>
      <c r="Q71" s="89" t="s">
        <v>351</v>
      </c>
      <c r="R71" s="89" t="s">
        <v>344</v>
      </c>
      <c r="S71" s="89" t="s">
        <v>350</v>
      </c>
      <c r="T71" s="89" t="s">
        <v>351</v>
      </c>
      <c r="U71" s="89" t="s">
        <v>350</v>
      </c>
      <c r="V71" s="89" t="s">
        <v>351</v>
      </c>
      <c r="W71" s="89" t="s">
        <v>350</v>
      </c>
      <c r="X71" s="90" t="s">
        <v>351</v>
      </c>
    </row>
    <row r="72" spans="1:24" ht="30" customHeight="1" x14ac:dyDescent="0.25">
      <c r="A72" s="91">
        <v>1</v>
      </c>
      <c r="B72" s="92"/>
      <c r="C72" s="93"/>
      <c r="D72" s="93"/>
      <c r="E72" s="94"/>
      <c r="F72" s="95">
        <f t="shared" ref="F72:F83" si="39">B72*0.8</f>
        <v>0</v>
      </c>
      <c r="G72" s="96">
        <f>F72*0.07/60</f>
        <v>0</v>
      </c>
      <c r="H72" s="97">
        <f>G72*4</f>
        <v>0</v>
      </c>
      <c r="I72" s="97">
        <f>H72*C72</f>
        <v>0</v>
      </c>
      <c r="J72" s="323">
        <f>SUM(I72:I83)</f>
        <v>0</v>
      </c>
      <c r="K72" s="109">
        <f>IF(AND(G72&gt;0,G72&lt;=5),25,IF(AND(G72&gt;5,G72&lt;=10),32,IF(AND(G72&gt;10,G72&lt;=15),40,IF(AND(G72&gt;15,G72&lt;=30),50,IF(AND(G72&gt;30,G72&lt;=50),65,IF(AND(G72&gt;50,G72&lt;=90),80,IF(AND(G72&gt;90,G72&lt;=190),100,IF(AND(G72&gt;190,G72&lt;=550),150,0))))))))</f>
        <v>0</v>
      </c>
      <c r="L72" s="110">
        <f>IF(AND(H72&gt;0,H72&lt;=5),25,IF(AND(H72&gt;5,H72&lt;=10),32,IF(AND(H72&gt;10,H72&lt;=15),40,IF(AND(H72&gt;15,H72&lt;=30),50,IF(AND(H72&gt;30,H72&lt;=50),65,IF(AND(H72&gt;50,H72&lt;=90),80,IF(AND(H72&gt;90,H72&lt;=190),100,IF(AND(H72&gt;190,H72&lt;=550),150,0))))))))</f>
        <v>0</v>
      </c>
      <c r="M72" s="110">
        <f t="shared" ref="M72:M83" si="40">IF(AND(T72&gt;0,T72&lt;10001),50,IF(AND(T72&gt;10000,T72&lt;20001),65,IF(AND(T72&gt;20000,T72&lt;35001),80,0)))</f>
        <v>0</v>
      </c>
      <c r="N72" s="326">
        <f>IF(AND(J72&gt;0,J72&lt;=5),25,IF(AND(J72&gt;5,J72&lt;=10),32,IF(AND(J72&gt;10,J72&lt;=15),40,IF(AND(J72&gt;15,J72&lt;=30),50,IF(AND(J72&gt;30,J72&lt;=50),65,IF(AND(J72&gt;50,J72&lt;=90),80,IF(AND(J72&gt;90,J72&lt;=190),100,IF(AND(J72&gt;190,J72&lt;=550),150,0))))))))</f>
        <v>0</v>
      </c>
      <c r="O72" s="98">
        <f>IF(C72=0,0,G72*D72*60*3.78*1.15)</f>
        <v>0</v>
      </c>
      <c r="P72" s="113">
        <f>CEILING(O72,500)</f>
        <v>0</v>
      </c>
      <c r="Q72" s="113">
        <f>O72/3.78</f>
        <v>0</v>
      </c>
      <c r="R72" s="115">
        <f>C72</f>
        <v>0</v>
      </c>
      <c r="S72" s="99">
        <f>O72*E72*R72</f>
        <v>0</v>
      </c>
      <c r="T72" s="99">
        <f>S72/3.78</f>
        <v>0</v>
      </c>
      <c r="U72" s="329">
        <f>SUM(S72:S83)</f>
        <v>0</v>
      </c>
      <c r="V72" s="329">
        <f>SUM(T72:T83)</f>
        <v>0</v>
      </c>
      <c r="W72" s="332">
        <f>CEILING(U72,1000)</f>
        <v>0</v>
      </c>
      <c r="X72" s="335">
        <f>IF(V72=0,0,INDEX($Z$9:$Z$27,MATCH(V72,$Z$9:$Z$27,-1)))</f>
        <v>0</v>
      </c>
    </row>
    <row r="73" spans="1:24" ht="30" customHeight="1" x14ac:dyDescent="0.25">
      <c r="A73" s="91">
        <v>2</v>
      </c>
      <c r="B73" s="92"/>
      <c r="C73" s="93"/>
      <c r="D73" s="93"/>
      <c r="E73" s="94"/>
      <c r="F73" s="95">
        <f t="shared" si="39"/>
        <v>0</v>
      </c>
      <c r="G73" s="96">
        <f t="shared" ref="G73:G83" si="41">F73*0.07/60</f>
        <v>0</v>
      </c>
      <c r="H73" s="97">
        <f>G73*4</f>
        <v>0</v>
      </c>
      <c r="I73" s="97">
        <f t="shared" ref="I73:I83" si="42">H73*C73</f>
        <v>0</v>
      </c>
      <c r="J73" s="324"/>
      <c r="K73" s="109">
        <f t="shared" ref="K73:K83" si="43">IF(AND(G73&gt;0,G73&lt;=5),25,IF(AND(G73&gt;5,G73&lt;=10),32,IF(AND(G73&gt;10,G73&lt;=15),40,IF(AND(G73&gt;15,G73&lt;=30),50,IF(AND(G73&gt;30,G73&lt;=50),65,IF(AND(G73&gt;50,G73&lt;=90),80,IF(AND(G73&gt;90,G73&lt;=190),100,IF(AND(G73&gt;190,G73&lt;=550),150,0))))))))</f>
        <v>0</v>
      </c>
      <c r="L73" s="110">
        <f t="shared" ref="L73:L83" si="44">IF(AND(H73&gt;0,H73&lt;=5),25,IF(AND(H73&gt;5,H73&lt;=10),32,IF(AND(H73&gt;10,H73&lt;=15),40,IF(AND(H73&gt;15,H73&lt;=30),50,IF(AND(H73&gt;30,H73&lt;=50),65,IF(AND(H73&gt;50,H73&lt;=90),80,IF(AND(H73&gt;90,H73&lt;=190),100,IF(AND(H73&gt;190,H73&lt;=550),150,0))))))))</f>
        <v>0</v>
      </c>
      <c r="M73" s="110">
        <f t="shared" si="40"/>
        <v>0</v>
      </c>
      <c r="N73" s="327"/>
      <c r="O73" s="98">
        <f t="shared" ref="O73:O82" si="45">IF(C73=0,0,G73*D73*60*3.78*1.15)</f>
        <v>0</v>
      </c>
      <c r="P73" s="113">
        <f t="shared" ref="P73:P83" si="46">CEILING(O73,500)</f>
        <v>0</v>
      </c>
      <c r="Q73" s="113">
        <f t="shared" ref="Q73:Q83" si="47">O73/3.78</f>
        <v>0</v>
      </c>
      <c r="R73" s="115">
        <f t="shared" ref="R73:R83" si="48">C73</f>
        <v>0</v>
      </c>
      <c r="S73" s="99">
        <f t="shared" ref="S73:S83" si="49">O73*E73</f>
        <v>0</v>
      </c>
      <c r="T73" s="99">
        <f>S73/3.78</f>
        <v>0</v>
      </c>
      <c r="U73" s="330"/>
      <c r="V73" s="330"/>
      <c r="W73" s="333"/>
      <c r="X73" s="336"/>
    </row>
    <row r="74" spans="1:24" ht="30" customHeight="1" x14ac:dyDescent="0.25">
      <c r="A74" s="91">
        <v>3</v>
      </c>
      <c r="B74" s="92"/>
      <c r="C74" s="93"/>
      <c r="D74" s="93"/>
      <c r="E74" s="94"/>
      <c r="F74" s="95">
        <f t="shared" si="39"/>
        <v>0</v>
      </c>
      <c r="G74" s="96">
        <f t="shared" si="41"/>
        <v>0</v>
      </c>
      <c r="H74" s="97">
        <f t="shared" ref="H74:H83" si="50">G74*4</f>
        <v>0</v>
      </c>
      <c r="I74" s="97">
        <f t="shared" si="42"/>
        <v>0</v>
      </c>
      <c r="J74" s="324"/>
      <c r="K74" s="109">
        <f t="shared" si="43"/>
        <v>0</v>
      </c>
      <c r="L74" s="110">
        <f t="shared" si="44"/>
        <v>0</v>
      </c>
      <c r="M74" s="110">
        <f t="shared" si="40"/>
        <v>0</v>
      </c>
      <c r="N74" s="327"/>
      <c r="O74" s="98">
        <f t="shared" si="45"/>
        <v>0</v>
      </c>
      <c r="P74" s="113">
        <f t="shared" si="46"/>
        <v>0</v>
      </c>
      <c r="Q74" s="113">
        <f t="shared" si="47"/>
        <v>0</v>
      </c>
      <c r="R74" s="115">
        <f t="shared" si="48"/>
        <v>0</v>
      </c>
      <c r="S74" s="99">
        <f t="shared" si="49"/>
        <v>0</v>
      </c>
      <c r="T74" s="99">
        <f t="shared" ref="T74:T83" si="51">Q74*E74</f>
        <v>0</v>
      </c>
      <c r="U74" s="330"/>
      <c r="V74" s="330"/>
      <c r="W74" s="333"/>
      <c r="X74" s="336"/>
    </row>
    <row r="75" spans="1:24" ht="30" customHeight="1" x14ac:dyDescent="0.25">
      <c r="A75" s="91">
        <v>4</v>
      </c>
      <c r="B75" s="92"/>
      <c r="C75" s="93"/>
      <c r="D75" s="93"/>
      <c r="E75" s="94"/>
      <c r="F75" s="95">
        <f t="shared" si="39"/>
        <v>0</v>
      </c>
      <c r="G75" s="96">
        <f t="shared" si="41"/>
        <v>0</v>
      </c>
      <c r="H75" s="97">
        <f t="shared" si="50"/>
        <v>0</v>
      </c>
      <c r="I75" s="97">
        <f t="shared" si="42"/>
        <v>0</v>
      </c>
      <c r="J75" s="324"/>
      <c r="K75" s="109">
        <f t="shared" si="43"/>
        <v>0</v>
      </c>
      <c r="L75" s="110">
        <f t="shared" si="44"/>
        <v>0</v>
      </c>
      <c r="M75" s="110">
        <f t="shared" si="40"/>
        <v>0</v>
      </c>
      <c r="N75" s="327"/>
      <c r="O75" s="98">
        <f t="shared" si="45"/>
        <v>0</v>
      </c>
      <c r="P75" s="113">
        <f t="shared" si="46"/>
        <v>0</v>
      </c>
      <c r="Q75" s="113">
        <f t="shared" si="47"/>
        <v>0</v>
      </c>
      <c r="R75" s="115">
        <f t="shared" si="48"/>
        <v>0</v>
      </c>
      <c r="S75" s="99">
        <f t="shared" si="49"/>
        <v>0</v>
      </c>
      <c r="T75" s="99">
        <f t="shared" si="51"/>
        <v>0</v>
      </c>
      <c r="U75" s="330"/>
      <c r="V75" s="330"/>
      <c r="W75" s="333"/>
      <c r="X75" s="336"/>
    </row>
    <row r="76" spans="1:24" ht="30" customHeight="1" x14ac:dyDescent="0.25">
      <c r="A76" s="91">
        <v>5</v>
      </c>
      <c r="B76" s="92"/>
      <c r="C76" s="93"/>
      <c r="D76" s="93"/>
      <c r="E76" s="94"/>
      <c r="F76" s="95">
        <f t="shared" si="39"/>
        <v>0</v>
      </c>
      <c r="G76" s="96">
        <f t="shared" si="41"/>
        <v>0</v>
      </c>
      <c r="H76" s="97">
        <f t="shared" si="50"/>
        <v>0</v>
      </c>
      <c r="I76" s="97">
        <f t="shared" si="42"/>
        <v>0</v>
      </c>
      <c r="J76" s="324"/>
      <c r="K76" s="109">
        <f t="shared" si="43"/>
        <v>0</v>
      </c>
      <c r="L76" s="110">
        <f t="shared" si="44"/>
        <v>0</v>
      </c>
      <c r="M76" s="110">
        <f t="shared" si="40"/>
        <v>0</v>
      </c>
      <c r="N76" s="327"/>
      <c r="O76" s="98">
        <f t="shared" si="45"/>
        <v>0</v>
      </c>
      <c r="P76" s="113">
        <f t="shared" si="46"/>
        <v>0</v>
      </c>
      <c r="Q76" s="113">
        <f t="shared" si="47"/>
        <v>0</v>
      </c>
      <c r="R76" s="115">
        <f t="shared" si="48"/>
        <v>0</v>
      </c>
      <c r="S76" s="99">
        <f t="shared" si="49"/>
        <v>0</v>
      </c>
      <c r="T76" s="99">
        <f t="shared" si="51"/>
        <v>0</v>
      </c>
      <c r="U76" s="330"/>
      <c r="V76" s="330"/>
      <c r="W76" s="333"/>
      <c r="X76" s="336"/>
    </row>
    <row r="77" spans="1:24" ht="30" customHeight="1" x14ac:dyDescent="0.25">
      <c r="A77" s="91">
        <v>6</v>
      </c>
      <c r="B77" s="92"/>
      <c r="C77" s="93"/>
      <c r="D77" s="93"/>
      <c r="E77" s="94"/>
      <c r="F77" s="95">
        <f t="shared" si="39"/>
        <v>0</v>
      </c>
      <c r="G77" s="96">
        <f t="shared" si="41"/>
        <v>0</v>
      </c>
      <c r="H77" s="97">
        <f t="shared" si="50"/>
        <v>0</v>
      </c>
      <c r="I77" s="97">
        <f t="shared" si="42"/>
        <v>0</v>
      </c>
      <c r="J77" s="324"/>
      <c r="K77" s="109">
        <f t="shared" si="43"/>
        <v>0</v>
      </c>
      <c r="L77" s="110">
        <f t="shared" si="44"/>
        <v>0</v>
      </c>
      <c r="M77" s="110">
        <f t="shared" si="40"/>
        <v>0</v>
      </c>
      <c r="N77" s="327"/>
      <c r="O77" s="98">
        <f t="shared" si="45"/>
        <v>0</v>
      </c>
      <c r="P77" s="113">
        <f t="shared" si="46"/>
        <v>0</v>
      </c>
      <c r="Q77" s="113">
        <f t="shared" si="47"/>
        <v>0</v>
      </c>
      <c r="R77" s="115">
        <f t="shared" si="48"/>
        <v>0</v>
      </c>
      <c r="S77" s="99">
        <f t="shared" si="49"/>
        <v>0</v>
      </c>
      <c r="T77" s="99">
        <f t="shared" si="51"/>
        <v>0</v>
      </c>
      <c r="U77" s="330"/>
      <c r="V77" s="330"/>
      <c r="W77" s="333"/>
      <c r="X77" s="336"/>
    </row>
    <row r="78" spans="1:24" ht="30" customHeight="1" x14ac:dyDescent="0.25">
      <c r="A78" s="91">
        <v>7</v>
      </c>
      <c r="B78" s="92"/>
      <c r="C78" s="93"/>
      <c r="D78" s="93"/>
      <c r="E78" s="94"/>
      <c r="F78" s="95">
        <f t="shared" si="39"/>
        <v>0</v>
      </c>
      <c r="G78" s="96">
        <f t="shared" si="41"/>
        <v>0</v>
      </c>
      <c r="H78" s="97">
        <f t="shared" si="50"/>
        <v>0</v>
      </c>
      <c r="I78" s="97">
        <f t="shared" si="42"/>
        <v>0</v>
      </c>
      <c r="J78" s="324"/>
      <c r="K78" s="109">
        <f t="shared" si="43"/>
        <v>0</v>
      </c>
      <c r="L78" s="110">
        <f t="shared" si="44"/>
        <v>0</v>
      </c>
      <c r="M78" s="110">
        <f t="shared" si="40"/>
        <v>0</v>
      </c>
      <c r="N78" s="327"/>
      <c r="O78" s="98">
        <f t="shared" si="45"/>
        <v>0</v>
      </c>
      <c r="P78" s="113">
        <f t="shared" si="46"/>
        <v>0</v>
      </c>
      <c r="Q78" s="113">
        <f t="shared" si="47"/>
        <v>0</v>
      </c>
      <c r="R78" s="115">
        <f t="shared" si="48"/>
        <v>0</v>
      </c>
      <c r="S78" s="99">
        <f t="shared" si="49"/>
        <v>0</v>
      </c>
      <c r="T78" s="99">
        <f t="shared" si="51"/>
        <v>0</v>
      </c>
      <c r="U78" s="330"/>
      <c r="V78" s="330"/>
      <c r="W78" s="333"/>
      <c r="X78" s="336"/>
    </row>
    <row r="79" spans="1:24" ht="30" customHeight="1" x14ac:dyDescent="0.25">
      <c r="A79" s="91">
        <v>8</v>
      </c>
      <c r="B79" s="92"/>
      <c r="C79" s="93"/>
      <c r="D79" s="93"/>
      <c r="E79" s="94"/>
      <c r="F79" s="95">
        <f t="shared" si="39"/>
        <v>0</v>
      </c>
      <c r="G79" s="96">
        <f t="shared" si="41"/>
        <v>0</v>
      </c>
      <c r="H79" s="97">
        <f t="shared" si="50"/>
        <v>0</v>
      </c>
      <c r="I79" s="97">
        <f t="shared" si="42"/>
        <v>0</v>
      </c>
      <c r="J79" s="324"/>
      <c r="K79" s="109">
        <f t="shared" si="43"/>
        <v>0</v>
      </c>
      <c r="L79" s="110">
        <f t="shared" si="44"/>
        <v>0</v>
      </c>
      <c r="M79" s="110">
        <f t="shared" si="40"/>
        <v>0</v>
      </c>
      <c r="N79" s="327"/>
      <c r="O79" s="98">
        <f t="shared" si="45"/>
        <v>0</v>
      </c>
      <c r="P79" s="113">
        <f t="shared" si="46"/>
        <v>0</v>
      </c>
      <c r="Q79" s="113">
        <f t="shared" si="47"/>
        <v>0</v>
      </c>
      <c r="R79" s="115">
        <f t="shared" si="48"/>
        <v>0</v>
      </c>
      <c r="S79" s="99">
        <f t="shared" si="49"/>
        <v>0</v>
      </c>
      <c r="T79" s="99">
        <f t="shared" si="51"/>
        <v>0</v>
      </c>
      <c r="U79" s="330"/>
      <c r="V79" s="330"/>
      <c r="W79" s="333"/>
      <c r="X79" s="336"/>
    </row>
    <row r="80" spans="1:24" ht="30" customHeight="1" x14ac:dyDescent="0.25">
      <c r="A80" s="91">
        <v>9</v>
      </c>
      <c r="B80" s="92"/>
      <c r="C80" s="93"/>
      <c r="D80" s="93"/>
      <c r="E80" s="94"/>
      <c r="F80" s="95">
        <f t="shared" si="39"/>
        <v>0</v>
      </c>
      <c r="G80" s="96">
        <f t="shared" si="41"/>
        <v>0</v>
      </c>
      <c r="H80" s="97">
        <f t="shared" si="50"/>
        <v>0</v>
      </c>
      <c r="I80" s="97">
        <f t="shared" si="42"/>
        <v>0</v>
      </c>
      <c r="J80" s="324"/>
      <c r="K80" s="109">
        <f t="shared" si="43"/>
        <v>0</v>
      </c>
      <c r="L80" s="110">
        <f t="shared" si="44"/>
        <v>0</v>
      </c>
      <c r="M80" s="110">
        <f t="shared" si="40"/>
        <v>0</v>
      </c>
      <c r="N80" s="327"/>
      <c r="O80" s="98">
        <f t="shared" si="45"/>
        <v>0</v>
      </c>
      <c r="P80" s="113">
        <f t="shared" si="46"/>
        <v>0</v>
      </c>
      <c r="Q80" s="113">
        <f t="shared" si="47"/>
        <v>0</v>
      </c>
      <c r="R80" s="115">
        <f t="shared" si="48"/>
        <v>0</v>
      </c>
      <c r="S80" s="99">
        <f t="shared" si="49"/>
        <v>0</v>
      </c>
      <c r="T80" s="99">
        <f t="shared" si="51"/>
        <v>0</v>
      </c>
      <c r="U80" s="330"/>
      <c r="V80" s="330"/>
      <c r="W80" s="333"/>
      <c r="X80" s="336"/>
    </row>
    <row r="81" spans="1:24" ht="30" customHeight="1" x14ac:dyDescent="0.25">
      <c r="A81" s="91">
        <v>10</v>
      </c>
      <c r="B81" s="92"/>
      <c r="C81" s="93"/>
      <c r="D81" s="93"/>
      <c r="E81" s="94"/>
      <c r="F81" s="95">
        <f t="shared" si="39"/>
        <v>0</v>
      </c>
      <c r="G81" s="96">
        <f t="shared" si="41"/>
        <v>0</v>
      </c>
      <c r="H81" s="97">
        <f t="shared" si="50"/>
        <v>0</v>
      </c>
      <c r="I81" s="97">
        <f t="shared" si="42"/>
        <v>0</v>
      </c>
      <c r="J81" s="324"/>
      <c r="K81" s="109">
        <f t="shared" si="43"/>
        <v>0</v>
      </c>
      <c r="L81" s="110">
        <f t="shared" si="44"/>
        <v>0</v>
      </c>
      <c r="M81" s="110">
        <f t="shared" si="40"/>
        <v>0</v>
      </c>
      <c r="N81" s="327"/>
      <c r="O81" s="98">
        <f t="shared" si="45"/>
        <v>0</v>
      </c>
      <c r="P81" s="113">
        <f t="shared" si="46"/>
        <v>0</v>
      </c>
      <c r="Q81" s="113">
        <f t="shared" si="47"/>
        <v>0</v>
      </c>
      <c r="R81" s="115">
        <f t="shared" si="48"/>
        <v>0</v>
      </c>
      <c r="S81" s="99">
        <f t="shared" si="49"/>
        <v>0</v>
      </c>
      <c r="T81" s="99">
        <f t="shared" si="51"/>
        <v>0</v>
      </c>
      <c r="U81" s="330"/>
      <c r="V81" s="330"/>
      <c r="W81" s="333"/>
      <c r="X81" s="336"/>
    </row>
    <row r="82" spans="1:24" ht="30" customHeight="1" x14ac:dyDescent="0.25">
      <c r="A82" s="91">
        <v>11</v>
      </c>
      <c r="B82" s="92"/>
      <c r="C82" s="93"/>
      <c r="D82" s="93"/>
      <c r="E82" s="94"/>
      <c r="F82" s="95">
        <f t="shared" si="39"/>
        <v>0</v>
      </c>
      <c r="G82" s="96">
        <f t="shared" si="41"/>
        <v>0</v>
      </c>
      <c r="H82" s="97">
        <f t="shared" si="50"/>
        <v>0</v>
      </c>
      <c r="I82" s="97">
        <f t="shared" si="42"/>
        <v>0</v>
      </c>
      <c r="J82" s="324"/>
      <c r="K82" s="109">
        <f t="shared" si="43"/>
        <v>0</v>
      </c>
      <c r="L82" s="110">
        <f t="shared" si="44"/>
        <v>0</v>
      </c>
      <c r="M82" s="110">
        <f t="shared" si="40"/>
        <v>0</v>
      </c>
      <c r="N82" s="327"/>
      <c r="O82" s="98">
        <f t="shared" si="45"/>
        <v>0</v>
      </c>
      <c r="P82" s="113">
        <f t="shared" si="46"/>
        <v>0</v>
      </c>
      <c r="Q82" s="113">
        <f t="shared" si="47"/>
        <v>0</v>
      </c>
      <c r="R82" s="115">
        <f t="shared" si="48"/>
        <v>0</v>
      </c>
      <c r="S82" s="99">
        <f t="shared" si="49"/>
        <v>0</v>
      </c>
      <c r="T82" s="99">
        <f t="shared" si="51"/>
        <v>0</v>
      </c>
      <c r="U82" s="330"/>
      <c r="V82" s="330"/>
      <c r="W82" s="333"/>
      <c r="X82" s="336"/>
    </row>
    <row r="83" spans="1:24" ht="30" customHeight="1" thickBot="1" x14ac:dyDescent="0.3">
      <c r="A83" s="100">
        <v>12</v>
      </c>
      <c r="B83" s="101"/>
      <c r="C83" s="102"/>
      <c r="D83" s="102"/>
      <c r="E83" s="103"/>
      <c r="F83" s="104">
        <f t="shared" si="39"/>
        <v>0</v>
      </c>
      <c r="G83" s="105">
        <f t="shared" si="41"/>
        <v>0</v>
      </c>
      <c r="H83" s="106">
        <f t="shared" si="50"/>
        <v>0</v>
      </c>
      <c r="I83" s="106">
        <f t="shared" si="42"/>
        <v>0</v>
      </c>
      <c r="J83" s="325"/>
      <c r="K83" s="111">
        <f t="shared" si="43"/>
        <v>0</v>
      </c>
      <c r="L83" s="112">
        <f t="shared" si="44"/>
        <v>0</v>
      </c>
      <c r="M83" s="112">
        <f t="shared" si="40"/>
        <v>0</v>
      </c>
      <c r="N83" s="328"/>
      <c r="O83" s="107">
        <f>IF(C83=0,0,G83*D83*60*3.78*1.15)</f>
        <v>0</v>
      </c>
      <c r="P83" s="114">
        <f t="shared" si="46"/>
        <v>0</v>
      </c>
      <c r="Q83" s="114">
        <f t="shared" si="47"/>
        <v>0</v>
      </c>
      <c r="R83" s="116">
        <f t="shared" si="48"/>
        <v>0</v>
      </c>
      <c r="S83" s="108">
        <f t="shared" si="49"/>
        <v>0</v>
      </c>
      <c r="T83" s="108">
        <f t="shared" si="51"/>
        <v>0</v>
      </c>
      <c r="U83" s="331"/>
      <c r="V83" s="331"/>
      <c r="W83" s="334"/>
      <c r="X83" s="337"/>
    </row>
    <row r="84" spans="1:24" ht="22.5" customHeight="1" x14ac:dyDescent="0.25"/>
    <row r="85" spans="1:24" ht="22.5" customHeight="1" x14ac:dyDescent="0.25"/>
    <row r="86" spans="1:24" ht="72" customHeight="1" x14ac:dyDescent="0.25">
      <c r="B86" s="307" t="s">
        <v>364</v>
      </c>
      <c r="C86" s="308"/>
      <c r="D86" s="308"/>
    </row>
  </sheetData>
  <sheetProtection selectLockedCells="1"/>
  <mergeCells count="60">
    <mergeCell ref="B19:D19"/>
    <mergeCell ref="F2:X2"/>
    <mergeCell ref="A1:X1"/>
    <mergeCell ref="G3:J3"/>
    <mergeCell ref="K3:N3"/>
    <mergeCell ref="O3:X3"/>
    <mergeCell ref="B3:E3"/>
    <mergeCell ref="B2:E2"/>
    <mergeCell ref="J6:J17"/>
    <mergeCell ref="U6:U17"/>
    <mergeCell ref="V6:V17"/>
    <mergeCell ref="X6:X17"/>
    <mergeCell ref="W6:W17"/>
    <mergeCell ref="N6:N17"/>
    <mergeCell ref="A22:X22"/>
    <mergeCell ref="B23:E23"/>
    <mergeCell ref="F23:X23"/>
    <mergeCell ref="B24:E24"/>
    <mergeCell ref="G24:J24"/>
    <mergeCell ref="K24:N24"/>
    <mergeCell ref="O24:X24"/>
    <mergeCell ref="X27:X38"/>
    <mergeCell ref="A43:X43"/>
    <mergeCell ref="B44:E44"/>
    <mergeCell ref="F44:X44"/>
    <mergeCell ref="B45:E45"/>
    <mergeCell ref="G45:J45"/>
    <mergeCell ref="K45:N45"/>
    <mergeCell ref="O45:X45"/>
    <mergeCell ref="J27:J38"/>
    <mergeCell ref="N27:N38"/>
    <mergeCell ref="U27:U38"/>
    <mergeCell ref="V27:V38"/>
    <mergeCell ref="W27:W38"/>
    <mergeCell ref="B40:D40"/>
    <mergeCell ref="B62:D62"/>
    <mergeCell ref="A67:X67"/>
    <mergeCell ref="B68:E68"/>
    <mergeCell ref="F68:X68"/>
    <mergeCell ref="J48:J59"/>
    <mergeCell ref="N48:N59"/>
    <mergeCell ref="U48:U59"/>
    <mergeCell ref="V48:V59"/>
    <mergeCell ref="W48:W59"/>
    <mergeCell ref="B86:D86"/>
    <mergeCell ref="P4:Q4"/>
    <mergeCell ref="P25:Q25"/>
    <mergeCell ref="P46:Q46"/>
    <mergeCell ref="P70:Q70"/>
    <mergeCell ref="B69:E69"/>
    <mergeCell ref="G69:J69"/>
    <mergeCell ref="K69:N69"/>
    <mergeCell ref="O69:X69"/>
    <mergeCell ref="J72:J83"/>
    <mergeCell ref="N72:N83"/>
    <mergeCell ref="U72:U83"/>
    <mergeCell ref="V72:V83"/>
    <mergeCell ref="W72:W83"/>
    <mergeCell ref="X72:X83"/>
    <mergeCell ref="X48:X59"/>
  </mergeCells>
  <pageMargins left="0.7" right="0.7" top="0.75" bottom="0.75" header="0.3" footer="0.3"/>
  <ignoredErrors>
    <ignoredError sqref="M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C4619-82E7-4A6B-8439-C8EBF3336E84}">
  <sheetPr>
    <pageSetUpPr fitToPage="1"/>
  </sheetPr>
  <dimension ref="A1:CL128"/>
  <sheetViews>
    <sheetView tabSelected="1" view="pageBreakPreview" zoomScaleNormal="100" zoomScaleSheetLayoutView="100" workbookViewId="0">
      <pane ySplit="1" topLeftCell="A2" activePane="bottomLeft" state="frozen"/>
      <selection activeCell="W6" sqref="W6:W17"/>
      <selection pane="bottomLeft" activeCell="K4" sqref="K4"/>
    </sheetView>
  </sheetViews>
  <sheetFormatPr defaultRowHeight="15" x14ac:dyDescent="0.25"/>
  <cols>
    <col min="1" max="1" width="4.42578125" style="184" customWidth="1"/>
    <col min="2" max="2" width="29.5703125" style="184" hidden="1" customWidth="1"/>
    <col min="3" max="3" width="31.85546875" style="186" customWidth="1"/>
    <col min="4" max="4" width="12.140625" style="184" customWidth="1"/>
    <col min="5" max="5" width="5.7109375" style="184" customWidth="1"/>
    <col min="6" max="6" width="4.7109375" style="184" customWidth="1"/>
    <col min="7" max="7" width="6.140625" style="153" customWidth="1"/>
    <col min="8" max="8" width="9.28515625" style="186" hidden="1" customWidth="1"/>
    <col min="9" max="9" width="12.85546875" style="186" customWidth="1"/>
    <col min="10" max="11" width="15.42578125" style="153" customWidth="1"/>
    <col min="12" max="12" width="15.7109375" style="186" customWidth="1"/>
    <col min="13" max="13" width="64.28515625" style="153" customWidth="1"/>
    <col min="14" max="14" width="16.42578125" style="175" hidden="1" customWidth="1"/>
    <col min="15" max="15" width="19.28515625" style="34" hidden="1" customWidth="1"/>
    <col min="16" max="16" width="18.5703125" style="34" hidden="1" customWidth="1"/>
    <col min="17" max="18" width="22.5703125" style="34" hidden="1" customWidth="1"/>
    <col min="19" max="19" width="22.5703125" style="176" hidden="1" customWidth="1"/>
    <col min="20" max="20" width="8.28515625" style="191" customWidth="1"/>
    <col min="21" max="21" width="16" style="34" customWidth="1"/>
    <col min="22" max="22" width="19.140625" style="34" customWidth="1"/>
    <col min="23" max="23" width="25" style="34" customWidth="1"/>
    <col min="24" max="24" width="20.140625" style="176" customWidth="1"/>
    <col min="25" max="25" width="24.42578125" style="177" customWidth="1"/>
    <col min="26" max="26" width="26.7109375" style="179" customWidth="1"/>
    <col min="27" max="27" width="26.28515625" style="178" customWidth="1"/>
    <col min="28" max="28" width="25" style="177" customWidth="1"/>
    <col min="29" max="29" width="26.28515625" style="34" customWidth="1"/>
    <col min="30" max="30" width="21.140625" style="178" customWidth="1"/>
    <col min="31" max="31" width="21.85546875" style="180" customWidth="1"/>
    <col min="32" max="32" width="21.85546875" style="176" customWidth="1"/>
    <col min="33" max="33" width="26.7109375" style="34" customWidth="1"/>
    <col min="34" max="34" width="27" style="34" customWidth="1"/>
    <col min="35" max="35" width="25.85546875" style="34" customWidth="1"/>
    <col min="36" max="36" width="26.85546875" style="34" customWidth="1"/>
    <col min="37" max="37" width="24.140625" style="34" customWidth="1"/>
    <col min="38" max="38" width="25.85546875" style="176" customWidth="1"/>
    <col min="39" max="39" width="22" style="175" customWidth="1"/>
    <col min="40" max="41" width="21.7109375" style="9" customWidth="1"/>
    <col min="42" max="42" width="21.7109375" style="182" customWidth="1"/>
    <col min="43" max="43" width="20.42578125" style="175" customWidth="1"/>
    <col min="44" max="45" width="20.42578125" style="9" customWidth="1"/>
    <col min="46" max="46" width="20.42578125" style="183" customWidth="1"/>
    <col min="47" max="47" width="21.7109375" style="181" customWidth="1"/>
    <col min="48" max="48" width="21.7109375" style="183" customWidth="1"/>
  </cols>
  <sheetData>
    <row r="1" spans="1:90" s="11" customFormat="1" ht="24" customHeight="1" x14ac:dyDescent="0.25">
      <c r="A1" s="231" t="s">
        <v>330</v>
      </c>
      <c r="B1" s="231" t="s">
        <v>124</v>
      </c>
      <c r="C1" s="232" t="s">
        <v>135</v>
      </c>
      <c r="D1" s="231" t="s">
        <v>125</v>
      </c>
      <c r="E1" s="231" t="s">
        <v>126</v>
      </c>
      <c r="F1" s="231" t="s">
        <v>136</v>
      </c>
      <c r="G1" s="233" t="s">
        <v>348</v>
      </c>
      <c r="H1" s="232" t="s">
        <v>127</v>
      </c>
      <c r="I1" s="232" t="s">
        <v>130</v>
      </c>
      <c r="J1" s="234" t="s">
        <v>717</v>
      </c>
      <c r="K1" s="234" t="s">
        <v>718</v>
      </c>
      <c r="L1" s="194" t="s">
        <v>430</v>
      </c>
      <c r="M1" s="193" t="s">
        <v>307</v>
      </c>
      <c r="N1" s="117" t="s">
        <v>448</v>
      </c>
      <c r="O1" s="118" t="s">
        <v>491</v>
      </c>
      <c r="P1" s="118" t="s">
        <v>508</v>
      </c>
      <c r="Q1" s="118" t="s">
        <v>492</v>
      </c>
      <c r="R1" s="118" t="s">
        <v>308</v>
      </c>
      <c r="S1" s="119" t="s">
        <v>309</v>
      </c>
      <c r="T1" s="189" t="s">
        <v>321</v>
      </c>
      <c r="U1" s="121" t="s">
        <v>312</v>
      </c>
      <c r="V1" s="121" t="s">
        <v>509</v>
      </c>
      <c r="W1" s="121" t="s">
        <v>493</v>
      </c>
      <c r="X1" s="122" t="s">
        <v>510</v>
      </c>
      <c r="Y1" s="120" t="s">
        <v>507</v>
      </c>
      <c r="Z1" s="124" t="s">
        <v>506</v>
      </c>
      <c r="AA1" s="123" t="s">
        <v>494</v>
      </c>
      <c r="AB1" s="120" t="s">
        <v>495</v>
      </c>
      <c r="AC1" s="121" t="s">
        <v>674</v>
      </c>
      <c r="AD1" s="123" t="s">
        <v>496</v>
      </c>
      <c r="AE1" s="120" t="s">
        <v>497</v>
      </c>
      <c r="AF1" s="123" t="s">
        <v>498</v>
      </c>
      <c r="AG1" s="301" t="s">
        <v>499</v>
      </c>
      <c r="AH1" s="125" t="s">
        <v>500</v>
      </c>
      <c r="AI1" s="125" t="s">
        <v>501</v>
      </c>
      <c r="AJ1" s="125" t="s">
        <v>502</v>
      </c>
      <c r="AK1" s="125" t="s">
        <v>379</v>
      </c>
      <c r="AL1" s="126" t="s">
        <v>380</v>
      </c>
      <c r="AM1" s="127" t="s">
        <v>449</v>
      </c>
      <c r="AN1" s="128" t="s">
        <v>503</v>
      </c>
      <c r="AO1" s="128" t="s">
        <v>450</v>
      </c>
      <c r="AP1" s="129" t="s">
        <v>311</v>
      </c>
      <c r="AQ1" s="130" t="s">
        <v>482</v>
      </c>
      <c r="AR1" s="131" t="s">
        <v>504</v>
      </c>
      <c r="AS1" s="131" t="s">
        <v>483</v>
      </c>
      <c r="AT1" s="132" t="s">
        <v>484</v>
      </c>
      <c r="AU1" s="133" t="s">
        <v>505</v>
      </c>
      <c r="AV1" s="134" t="s">
        <v>382</v>
      </c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</row>
    <row r="2" spans="1:90" s="12" customFormat="1" ht="24" customHeight="1" x14ac:dyDescent="0.25">
      <c r="A2" s="235">
        <v>1</v>
      </c>
      <c r="B2" s="236" t="s">
        <v>91</v>
      </c>
      <c r="C2" s="236" t="s">
        <v>212</v>
      </c>
      <c r="D2" s="235" t="s">
        <v>81</v>
      </c>
      <c r="E2" s="235"/>
      <c r="F2" s="235">
        <v>1</v>
      </c>
      <c r="G2" s="237" t="str">
        <f>_xlfn.IFNA(VLOOKUP(Pricing_Sheet[[#This Row],[ITEM]],Data!$A$2:$B$100,2,FALSE),"-")</f>
        <v>Nos</v>
      </c>
      <c r="H2" s="238" t="s">
        <v>102</v>
      </c>
      <c r="I2" s="236"/>
      <c r="J2" s="239">
        <f>_xlfn.IFNA(IF(M2='Price List'!$B$266,$AT$22,IF(M2='Price List'!$B$265,$AP$22,IF(AND(M2='Price List'!$B$267,$L$2=Data!$C$47),'Pricing Sheet'!$AF$22,IF(AND(M2='Price List'!$B$267,$L$2=Data!$C$48),$AE$22,IF(M2='Price List'!$B$269,'Pricing Sheet'!$AH$22,IF(M2='Price List'!$B$268,'Pricing Sheet'!$AJ$22,VLOOKUP(M2,'Price List'!$B$2:$Y$9827,24,FALSE))))))),0)</f>
        <v>220100</v>
      </c>
      <c r="K2" s="239">
        <f>Pricing_Sheet[[#This Row],[UNIT PRICE ]]*Pricing_Sheet[[#This Row],[QTY]]</f>
        <v>220100</v>
      </c>
      <c r="L2" s="297" t="s">
        <v>431</v>
      </c>
      <c r="M2" s="195" t="str">
        <f t="shared" ref="M2:M20" si="0">B2&amp;" "&amp;C2&amp;" "&amp;D2&amp;" "&amp;E2&amp;" "&amp;H2</f>
        <v>Storage Tank Storage Tank Cylindrical DW Steel Above Ground UL 142 30000 L  Al Ayash</v>
      </c>
      <c r="N2" s="135">
        <f>IF(ISNA(VLOOKUP(M2,'Price List'!$B$2:$Y$9827,18,FALSE)),0,VLOOKUP(M2,'Price List'!$B$2:$Y$9827,18,FALSE))</f>
        <v>142000</v>
      </c>
      <c r="O2" s="136">
        <f>IF(N2=0,0,N2*Pricing_Sheet[[#This Row],[QTY]])</f>
        <v>142000</v>
      </c>
      <c r="P2" s="136">
        <f>IF(ISNA(VLOOKUP(M2,'Price List'!$B$2:$Y$9827,19,FALSE)*Pricing_Sheet[[#This Row],[QTY]]+VLOOKUP(M2,'Price List'!$B$2:$Y$9827,20,FALSE)*Pricing_Sheet[[#This Row],[QTY]]),0,VLOOKUP(M2,'Price List'!$B$2:$Y$9827,19,FALSE)*Pricing_Sheet[[#This Row],[QTY]]+VLOOKUP(M2,'Price List'!$B$2:$Y$9827,20,FALSE)*Pricing_Sheet[[#This Row],[QTY]])</f>
        <v>21300</v>
      </c>
      <c r="Q2" s="136">
        <f>IF(ISNA(VLOOKUP(M2,'Price List'!$B$2:$Y$9827,21,FALSE)),0,VLOOKUP(M2,'Price List'!$B$2:$Y$9827,21,FALSE)*Pricing_Sheet[[#This Row],[QTY]])</f>
        <v>56800</v>
      </c>
      <c r="R2" s="136">
        <f>IF(N2=0,0,Pricing_Sheet[[#This Row],[UNIT PRICE ]])</f>
        <v>220100</v>
      </c>
      <c r="S2" s="137">
        <f>IF(R2=0,0,R2*Pricing_Sheet[[#This Row],[QTY]])</f>
        <v>220100</v>
      </c>
      <c r="T2" s="192">
        <f>IF(Pricing_Sheet[[#This Row],[Full Description]]='Price List'!$B$265,Electrical!$AA$27,IF(Pricing_Sheet[[#This Row],[Full Description]]='Price List'!$B$266,ATG!$S$2,IF(ISNA(VLOOKUP(M2,'Price List'!$B$2:$Z$9827,21,FALSE)),0,VLOOKUP(M2,'Price List'!$B$2:$Z$9827,25,FALSE))))</f>
        <v>15</v>
      </c>
      <c r="U2" s="138">
        <f>IFERROR(T2*Pricing_Sheet[[#This Row],[QTY]],0)</f>
        <v>15</v>
      </c>
      <c r="V2" s="139"/>
      <c r="W2" s="139"/>
      <c r="X2" s="140" t="s">
        <v>14</v>
      </c>
      <c r="Y2" s="141" t="s">
        <v>14</v>
      </c>
      <c r="Z2" s="143" t="s">
        <v>14</v>
      </c>
      <c r="AA2" s="142" t="s">
        <v>14</v>
      </c>
      <c r="AB2" s="141" t="s">
        <v>14</v>
      </c>
      <c r="AC2" s="139" t="s">
        <v>14</v>
      </c>
      <c r="AD2" s="142" t="s">
        <v>14</v>
      </c>
      <c r="AE2" s="141" t="s">
        <v>14</v>
      </c>
      <c r="AF2" s="142" t="s">
        <v>14</v>
      </c>
      <c r="AG2" s="302">
        <f>IF(M2='Price List'!$B$269,1,0)</f>
        <v>0</v>
      </c>
      <c r="AH2" s="144" t="s">
        <v>14</v>
      </c>
      <c r="AI2" s="144">
        <f>IF(M2='Price List'!$B$268,1,0)</f>
        <v>0</v>
      </c>
      <c r="AJ2" s="144" t="s">
        <v>14</v>
      </c>
      <c r="AK2" s="144" t="s">
        <v>14</v>
      </c>
      <c r="AL2" s="144" t="s">
        <v>14</v>
      </c>
      <c r="AM2" s="145" t="s">
        <v>14</v>
      </c>
      <c r="AN2" s="146" t="s">
        <v>14</v>
      </c>
      <c r="AO2" s="146" t="s">
        <v>14</v>
      </c>
      <c r="AP2" s="147" t="s">
        <v>14</v>
      </c>
      <c r="AQ2" s="148" t="s">
        <v>14</v>
      </c>
      <c r="AR2" s="149" t="s">
        <v>14</v>
      </c>
      <c r="AS2" s="149" t="s">
        <v>14</v>
      </c>
      <c r="AT2" s="150" t="s">
        <v>14</v>
      </c>
      <c r="AU2" s="151" t="s">
        <v>14</v>
      </c>
      <c r="AV2" s="152" t="s">
        <v>14</v>
      </c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</row>
    <row r="3" spans="1:90" s="12" customFormat="1" ht="24" customHeight="1" x14ac:dyDescent="0.25">
      <c r="A3" s="235">
        <v>2</v>
      </c>
      <c r="B3" s="236" t="s">
        <v>577</v>
      </c>
      <c r="C3" s="236" t="s">
        <v>891</v>
      </c>
      <c r="D3" s="235"/>
      <c r="E3" s="235"/>
      <c r="F3" s="235">
        <v>1</v>
      </c>
      <c r="G3" s="237" t="str">
        <f>_xlfn.IFNA(VLOOKUP(Pricing_Sheet[[#This Row],[ITEM]],Data!$A$2:$B$100,2,FALSE),"-")</f>
        <v>Nos</v>
      </c>
      <c r="H3" s="238" t="s">
        <v>40</v>
      </c>
      <c r="I3" s="236"/>
      <c r="J3" s="239">
        <f>_xlfn.IFNA(IF(M3='Price List'!$B$266,$AT$22,IF(M3='Price List'!$B$265,$AP$22,IF(AND(M3='Price List'!$B$267,$L$2=Data!$C$47),'Pricing Sheet'!$AF$22,IF(AND(M3='Price List'!$B$267,$L$2=Data!$C$48),$AE$22,IF(M3='Price List'!$B$269,'Pricing Sheet'!$AH$22,IF(M3='Price List'!$B$268,'Pricing Sheet'!$AJ$22,VLOOKUP(M3,'Price List'!$B$2:$Y$9827,24,FALSE))))))),0)</f>
        <v>3100</v>
      </c>
      <c r="K3" s="239">
        <f>Pricing_Sheet[[#This Row],[UNIT PRICE ]]*Pricing_Sheet[[#This Row],[QTY]]</f>
        <v>3100</v>
      </c>
      <c r="L3" s="187"/>
      <c r="M3" s="195" t="str">
        <f t="shared" si="0"/>
        <v>Level Indicator Magnetic Float Switch (Day Tank) - 2 Levels   WIKA</v>
      </c>
      <c r="N3" s="135">
        <f>IF(ISNA(VLOOKUP(M3,'Price List'!$B$2:$Y$9827,18,FALSE)),0,VLOOKUP(M3,'Price List'!$B$2:$Y$9827,18,FALSE))</f>
        <v>2000</v>
      </c>
      <c r="O3" s="136">
        <f>IF(N3=0,0,N3*Pricing_Sheet[[#This Row],[QTY]])</f>
        <v>2000</v>
      </c>
      <c r="P3" s="136">
        <f>IF(ISNA(VLOOKUP(M3,'Price List'!$B$2:$Y$9827,19,FALSE)*Pricing_Sheet[[#This Row],[QTY]]+VLOOKUP(M3,'Price List'!$B$2:$Y$9827,20,FALSE)*Pricing_Sheet[[#This Row],[QTY]]),0,VLOOKUP(M3,'Price List'!$B$2:$Y$9827,19,FALSE)*Pricing_Sheet[[#This Row],[QTY]]+VLOOKUP(M3,'Price List'!$B$2:$Y$9827,20,FALSE)*Pricing_Sheet[[#This Row],[QTY]])</f>
        <v>300</v>
      </c>
      <c r="Q3" s="136">
        <f>IF(ISNA(VLOOKUP(M3,'Price List'!$B$2:$Y$9827,21,FALSE)),0,VLOOKUP(M3,'Price List'!$B$2:$Y$9827,21,FALSE)*Pricing_Sheet[[#This Row],[QTY]])</f>
        <v>800</v>
      </c>
      <c r="R3" s="136">
        <f>IF(N3=0,0,Pricing_Sheet[[#This Row],[UNIT PRICE ]])</f>
        <v>3100</v>
      </c>
      <c r="S3" s="137">
        <f>IF(R3=0,0,R3*Pricing_Sheet[[#This Row],[QTY]])</f>
        <v>3100</v>
      </c>
      <c r="T3" s="192">
        <f>IF(Pricing_Sheet[[#This Row],[Full Description]]='Price List'!$B$265,Electrical!$AA$27,IF(Pricing_Sheet[[#This Row],[Full Description]]='Price List'!$B$266,ATG!$S$2,IF(ISNA(VLOOKUP(M3,'Price List'!$B$2:$Z$9827,21,FALSE)),0,VLOOKUP(M3,'Price List'!$B$2:$Z$9827,25,FALSE))))</f>
        <v>2</v>
      </c>
      <c r="U3" s="138">
        <f>IFERROR(T3*Pricing_Sheet[[#This Row],[QTY]],0)</f>
        <v>2</v>
      </c>
      <c r="V3" s="139"/>
      <c r="W3" s="139"/>
      <c r="X3" s="140"/>
      <c r="Y3" s="141"/>
      <c r="Z3" s="143"/>
      <c r="AA3" s="140"/>
      <c r="AB3" s="141"/>
      <c r="AC3" s="139"/>
      <c r="AD3" s="142"/>
      <c r="AE3" s="141"/>
      <c r="AF3" s="142"/>
      <c r="AG3" s="303">
        <f>IF(M3='Price List'!$B$269,1,0)</f>
        <v>0</v>
      </c>
      <c r="AH3" s="216"/>
      <c r="AI3" s="216">
        <f>IF(M3='Price List'!$B$268,1,0)</f>
        <v>0</v>
      </c>
      <c r="AJ3" s="216"/>
      <c r="AK3" s="216"/>
      <c r="AL3" s="217"/>
      <c r="AM3" s="145"/>
      <c r="AN3" s="146"/>
      <c r="AO3" s="146"/>
      <c r="AP3" s="147"/>
      <c r="AQ3" s="148"/>
      <c r="AR3" s="149"/>
      <c r="AS3" s="149"/>
      <c r="AT3" s="150"/>
      <c r="AU3" s="151"/>
      <c r="AV3" s="152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</row>
    <row r="4" spans="1:90" s="12" customFormat="1" ht="24" customHeight="1" x14ac:dyDescent="0.25">
      <c r="A4" s="235">
        <v>3</v>
      </c>
      <c r="B4" s="236" t="s">
        <v>577</v>
      </c>
      <c r="C4" s="236" t="s">
        <v>429</v>
      </c>
      <c r="D4" s="235"/>
      <c r="E4" s="235"/>
      <c r="F4" s="235">
        <v>2</v>
      </c>
      <c r="G4" s="237" t="str">
        <f>_xlfn.IFNA(VLOOKUP(Pricing_Sheet[[#This Row],[ITEM]],Data!$A$2:$B$100,2,FALSE),"-")</f>
        <v>Nos</v>
      </c>
      <c r="H4" s="238" t="s">
        <v>48</v>
      </c>
      <c r="I4" s="236"/>
      <c r="J4" s="239">
        <f>_xlfn.IFNA(IF(M4='Price List'!$B$266,$AT$22,IF(M4='Price List'!$B$265,$AP$22,IF(AND(M4='Price List'!$B$267,$L$2=Data!$C$47),'Pricing Sheet'!$AF$22,IF(AND(M4='Price List'!$B$267,$L$2=Data!$C$48),$AE$22,IF(M4='Price List'!$B$269,'Pricing Sheet'!$AH$22,IF(M4='Price List'!$B$268,'Pricing Sheet'!$AJ$22,VLOOKUP(M4,'Price List'!$B$2:$Y$9827,24,FALSE))))))),0)</f>
        <v>9006.7477500000005</v>
      </c>
      <c r="K4" s="239">
        <f>Pricing_Sheet[[#This Row],[UNIT PRICE ]]*Pricing_Sheet[[#This Row],[QTY]]</f>
        <v>18013.495500000001</v>
      </c>
      <c r="L4" s="187"/>
      <c r="M4" s="195" t="str">
        <f t="shared" si="0"/>
        <v>Level Indicator Level Probe with Digital Display   Inpro</v>
      </c>
      <c r="N4" s="135">
        <f>IF(ISNA(VLOOKUP(M4,'Price List'!$B$2:$Y$9827,18,FALSE)),0,VLOOKUP(M4,'Price List'!$B$2:$Y$9827,18,FALSE))</f>
        <v>5810.8050000000003</v>
      </c>
      <c r="O4" s="136">
        <f>IF(N4=0,0,N4*Pricing_Sheet[[#This Row],[QTY]])</f>
        <v>11621.61</v>
      </c>
      <c r="P4" s="136">
        <f>IF(ISNA(VLOOKUP(M4,'Price List'!$B$2:$Y$9827,19,FALSE)*Pricing_Sheet[[#This Row],[QTY]]+VLOOKUP(M4,'Price List'!$B$2:$Y$9827,20,FALSE)*Pricing_Sheet[[#This Row],[QTY]]),0,VLOOKUP(M4,'Price List'!$B$2:$Y$9827,19,FALSE)*Pricing_Sheet[[#This Row],[QTY]]+VLOOKUP(M4,'Price List'!$B$2:$Y$9827,20,FALSE)*Pricing_Sheet[[#This Row],[QTY]])</f>
        <v>1743.2415000000001</v>
      </c>
      <c r="Q4" s="136">
        <f>IF(ISNA(VLOOKUP(M4,'Price List'!$B$2:$Y$9827,21,FALSE)),0,VLOOKUP(M4,'Price List'!$B$2:$Y$9827,21,FALSE)*Pricing_Sheet[[#This Row],[QTY]])</f>
        <v>4648.6440000000002</v>
      </c>
      <c r="R4" s="136">
        <f>IF(N4=0,0,Pricing_Sheet[[#This Row],[UNIT PRICE ]])</f>
        <v>9006.7477500000005</v>
      </c>
      <c r="S4" s="137">
        <f>IF(R4=0,0,R4*Pricing_Sheet[[#This Row],[QTY]])</f>
        <v>18013.495500000001</v>
      </c>
      <c r="T4" s="192">
        <f>IF(Pricing_Sheet[[#This Row],[Full Description]]='Price List'!$B$265,Electrical!$AA$27,IF(Pricing_Sheet[[#This Row],[Full Description]]='Price List'!$B$266,ATG!$S$2,IF(ISNA(VLOOKUP(M4,'Price List'!$B$2:$Z$9827,21,FALSE)),0,VLOOKUP(M4,'Price List'!$B$2:$Z$9827,25,FALSE))))</f>
        <v>3</v>
      </c>
      <c r="U4" s="138">
        <f>IFERROR(T4*Pricing_Sheet[[#This Row],[QTY]],0)</f>
        <v>6</v>
      </c>
      <c r="V4" s="139"/>
      <c r="W4" s="139"/>
      <c r="X4" s="140"/>
      <c r="Y4" s="141"/>
      <c r="Z4" s="143"/>
      <c r="AA4" s="140"/>
      <c r="AB4" s="141"/>
      <c r="AC4" s="139"/>
      <c r="AD4" s="142"/>
      <c r="AE4" s="141"/>
      <c r="AF4" s="142"/>
      <c r="AG4" s="303">
        <f>IF(M4='Price List'!$B$269,1,0)</f>
        <v>0</v>
      </c>
      <c r="AH4" s="216"/>
      <c r="AI4" s="216">
        <f>IF(M4='Price List'!$B$268,1,0)</f>
        <v>0</v>
      </c>
      <c r="AJ4" s="216"/>
      <c r="AK4" s="216"/>
      <c r="AL4" s="217"/>
      <c r="AM4" s="145"/>
      <c r="AN4" s="146"/>
      <c r="AO4" s="146"/>
      <c r="AP4" s="147"/>
      <c r="AQ4" s="148"/>
      <c r="AR4" s="149"/>
      <c r="AS4" s="149"/>
      <c r="AT4" s="150"/>
      <c r="AU4" s="151"/>
      <c r="AV4" s="152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</row>
    <row r="5" spans="1:90" s="12" customFormat="1" ht="24" customHeight="1" x14ac:dyDescent="0.25">
      <c r="A5" s="235">
        <v>4</v>
      </c>
      <c r="B5" s="236" t="s">
        <v>578</v>
      </c>
      <c r="C5" s="236" t="s">
        <v>893</v>
      </c>
      <c r="D5" s="235"/>
      <c r="E5" s="235"/>
      <c r="F5" s="235">
        <v>1</v>
      </c>
      <c r="G5" s="237" t="str">
        <f>_xlfn.IFNA(VLOOKUP(Pricing_Sheet[[#This Row],[ITEM]],Data!$A$2:$B$100,2,FALSE),"-")</f>
        <v>Nos</v>
      </c>
      <c r="H5" s="238" t="s">
        <v>800</v>
      </c>
      <c r="I5" s="236"/>
      <c r="J5" s="239">
        <f>_xlfn.IFNA(IF(M5='Price List'!$B$266,$AT$22,IF(M5='Price List'!$B$265,$AP$22,IF(AND(M5='Price List'!$B$267,$L$2=Data!$C$47),'Pricing Sheet'!$AF$22,IF(AND(M5='Price List'!$B$267,$L$2=Data!$C$48),$AE$22,IF(M5='Price List'!$B$269,'Pricing Sheet'!$AH$22,IF(M5='Price List'!$B$268,'Pricing Sheet'!$AJ$22,VLOOKUP(M5,'Price List'!$B$2:$Y$9827,24,FALSE))))))),0)</f>
        <v>7099.8525000000009</v>
      </c>
      <c r="K5" s="239">
        <f>Pricing_Sheet[[#This Row],[UNIT PRICE ]]*Pricing_Sheet[[#This Row],[QTY]]</f>
        <v>7099.8525000000009</v>
      </c>
      <c r="L5" s="187"/>
      <c r="M5" s="195" t="str">
        <f t="shared" ref="M5" si="1">B5&amp;" "&amp;C5&amp;" "&amp;D5&amp;" "&amp;E5&amp;" "&amp;H5</f>
        <v>Vent Vent Cap with Flame Arrester 3"   Morrison Bros</v>
      </c>
      <c r="N5" s="135">
        <f>IF(ISNA(VLOOKUP(M5,'Price List'!$B$2:$Y$9827,18,FALSE)),0,VLOOKUP(M5,'Price List'!$B$2:$Y$9827,18,FALSE))</f>
        <v>4580.55</v>
      </c>
      <c r="O5" s="136">
        <f>IF(N5=0,0,N5*Pricing_Sheet[[#This Row],[QTY]])</f>
        <v>4580.55</v>
      </c>
      <c r="P5" s="136">
        <f>IF(ISNA(VLOOKUP(M5,'Price List'!$B$2:$Y$9827,19,FALSE)*Pricing_Sheet[[#This Row],[QTY]]+VLOOKUP(M5,'Price List'!$B$2:$Y$9827,20,FALSE)*Pricing_Sheet[[#This Row],[QTY]]),0,VLOOKUP(M5,'Price List'!$B$2:$Y$9827,19,FALSE)*Pricing_Sheet[[#This Row],[QTY]]+VLOOKUP(M5,'Price List'!$B$2:$Y$9827,20,FALSE)*Pricing_Sheet[[#This Row],[QTY]])</f>
        <v>687.0825000000001</v>
      </c>
      <c r="Q5" s="136">
        <f>IF(ISNA(VLOOKUP(M5,'Price List'!$B$2:$Y$9827,21,FALSE)),0,VLOOKUP(M5,'Price List'!$B$2:$Y$9827,21,FALSE)*Pricing_Sheet[[#This Row],[QTY]])</f>
        <v>1832.2200000000003</v>
      </c>
      <c r="R5" s="136">
        <f>IF(N5=0,0,Pricing_Sheet[[#This Row],[UNIT PRICE ]])</f>
        <v>7099.8525000000009</v>
      </c>
      <c r="S5" s="137">
        <f>IF(R5=0,0,R5*Pricing_Sheet[[#This Row],[QTY]])</f>
        <v>7099.8525000000009</v>
      </c>
      <c r="T5" s="192">
        <f>IF(Pricing_Sheet[[#This Row],[Full Description]]='Price List'!$B$265,Electrical!$AA$27,IF(Pricing_Sheet[[#This Row],[Full Description]]='Price List'!$B$266,ATG!$S$2,IF(ISNA(VLOOKUP(M5,'Price List'!$B$2:$Z$9827,21,FALSE)),0,VLOOKUP(M5,'Price List'!$B$2:$Z$9827,25,FALSE))))</f>
        <v>2</v>
      </c>
      <c r="U5" s="138">
        <f>IFERROR(T5*Pricing_Sheet[[#This Row],[QTY]],0)</f>
        <v>2</v>
      </c>
      <c r="V5" s="139"/>
      <c r="W5" s="139"/>
      <c r="X5" s="140"/>
      <c r="Y5" s="141"/>
      <c r="Z5" s="143"/>
      <c r="AA5" s="140"/>
      <c r="AB5" s="141"/>
      <c r="AC5" s="139"/>
      <c r="AD5" s="142"/>
      <c r="AE5" s="141"/>
      <c r="AF5" s="142"/>
      <c r="AG5" s="303">
        <f>IF(M5='Price List'!$B$269,1,0)</f>
        <v>0</v>
      </c>
      <c r="AH5" s="216"/>
      <c r="AI5" s="216">
        <f>IF(M5='Price List'!$B$268,1,0)</f>
        <v>0</v>
      </c>
      <c r="AJ5" s="216"/>
      <c r="AK5" s="216"/>
      <c r="AL5" s="217"/>
      <c r="AM5" s="145"/>
      <c r="AN5" s="146"/>
      <c r="AO5" s="146"/>
      <c r="AP5" s="147"/>
      <c r="AQ5" s="148"/>
      <c r="AR5" s="149"/>
      <c r="AS5" s="149"/>
      <c r="AT5" s="150"/>
      <c r="AU5" s="151"/>
      <c r="AV5" s="152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</row>
    <row r="6" spans="1:90" s="12" customFormat="1" ht="24" customHeight="1" x14ac:dyDescent="0.25">
      <c r="A6" s="235">
        <v>5</v>
      </c>
      <c r="B6" s="236" t="s">
        <v>578</v>
      </c>
      <c r="C6" s="236" t="s">
        <v>117</v>
      </c>
      <c r="D6" s="235"/>
      <c r="E6" s="235"/>
      <c r="F6" s="235">
        <v>1</v>
      </c>
      <c r="G6" s="237" t="str">
        <f>_xlfn.IFNA(VLOOKUP(Pricing_Sheet[[#This Row],[ITEM]],Data!$A$2:$B$100,2,FALSE),"-")</f>
        <v>Nos</v>
      </c>
      <c r="H6" s="238" t="s">
        <v>35</v>
      </c>
      <c r="I6" s="236"/>
      <c r="J6" s="239">
        <f>_xlfn.IFNA(IF(M6='Price List'!$B$266,$AT$22,IF(M6='Price List'!$B$265,$AP$22,IF(AND(M6='Price List'!$B$267,$L$2=Data!$C$47),'Pricing Sheet'!$AF$22,IF(AND(M6='Price List'!$B$267,$L$2=Data!$C$48),$AE$22,IF(M6='Price List'!$B$269,'Pricing Sheet'!$AH$22,IF(M6='Price List'!$B$268,'Pricing Sheet'!$AJ$22,VLOOKUP(M6,'Price List'!$B$2:$Y$9827,24,FALSE))))))),0)</f>
        <v>283.9941</v>
      </c>
      <c r="K6" s="239">
        <f>Pricing_Sheet[[#This Row],[UNIT PRICE ]]*Pricing_Sheet[[#This Row],[QTY]]</f>
        <v>283.9941</v>
      </c>
      <c r="L6" s="187"/>
      <c r="M6" s="195" t="str">
        <f t="shared" si="0"/>
        <v>Vent Vent Cap 2" (Day Tank)   OPW</v>
      </c>
      <c r="N6" s="135">
        <f>IF(ISNA(VLOOKUP(M6,'Price List'!$B$2:$Y$9827,18,FALSE)),0,VLOOKUP(M6,'Price List'!$B$2:$Y$9827,18,FALSE))</f>
        <v>183.22200000000001</v>
      </c>
      <c r="O6" s="136">
        <f>IF(N6=0,0,N6*Pricing_Sheet[[#This Row],[QTY]])</f>
        <v>183.22200000000001</v>
      </c>
      <c r="P6" s="136">
        <f>IF(ISNA(VLOOKUP(M6,'Price List'!$B$2:$Y$9827,19,FALSE)*Pricing_Sheet[[#This Row],[QTY]]+VLOOKUP(M6,'Price List'!$B$2:$Y$9827,20,FALSE)*Pricing_Sheet[[#This Row],[QTY]]),0,VLOOKUP(M6,'Price List'!$B$2:$Y$9827,19,FALSE)*Pricing_Sheet[[#This Row],[QTY]]+VLOOKUP(M6,'Price List'!$B$2:$Y$9827,20,FALSE)*Pricing_Sheet[[#This Row],[QTY]])</f>
        <v>27.483300000000003</v>
      </c>
      <c r="Q6" s="136">
        <f>IF(ISNA(VLOOKUP(M6,'Price List'!$B$2:$Y$9827,21,FALSE)),0,VLOOKUP(M6,'Price List'!$B$2:$Y$9827,21,FALSE)*Pricing_Sheet[[#This Row],[QTY]])</f>
        <v>73.288800000000009</v>
      </c>
      <c r="R6" s="136">
        <f>IF(N6=0,0,Pricing_Sheet[[#This Row],[UNIT PRICE ]])</f>
        <v>283.9941</v>
      </c>
      <c r="S6" s="137">
        <f>IF(R6=0,0,R6*Pricing_Sheet[[#This Row],[QTY]])</f>
        <v>283.9941</v>
      </c>
      <c r="T6" s="192">
        <f>IF(Pricing_Sheet[[#This Row],[Full Description]]='Price List'!$B$265,Electrical!$AA$27,IF(Pricing_Sheet[[#This Row],[Full Description]]='Price List'!$B$266,ATG!$S$2,IF(ISNA(VLOOKUP(M6,'Price List'!$B$2:$Z$9827,21,FALSE)),0,VLOOKUP(M6,'Price List'!$B$2:$Z$9827,25,FALSE))))</f>
        <v>2</v>
      </c>
      <c r="U6" s="138">
        <f>IFERROR(T6*Pricing_Sheet[[#This Row],[QTY]],0)</f>
        <v>2</v>
      </c>
      <c r="V6" s="139"/>
      <c r="W6" s="139"/>
      <c r="X6" s="140"/>
      <c r="Y6" s="141"/>
      <c r="Z6" s="143"/>
      <c r="AA6" s="140"/>
      <c r="AB6" s="141"/>
      <c r="AC6" s="139"/>
      <c r="AD6" s="142"/>
      <c r="AE6" s="141"/>
      <c r="AF6" s="142"/>
      <c r="AG6" s="303">
        <f>IF(M6='Price List'!$B$269,1,0)</f>
        <v>0</v>
      </c>
      <c r="AH6" s="216"/>
      <c r="AI6" s="216">
        <f>IF(M6='Price List'!$B$268,1,0)</f>
        <v>0</v>
      </c>
      <c r="AJ6" s="216"/>
      <c r="AK6" s="216"/>
      <c r="AL6" s="217"/>
      <c r="AM6" s="145"/>
      <c r="AN6" s="146"/>
      <c r="AO6" s="146"/>
      <c r="AP6" s="147"/>
      <c r="AQ6" s="148"/>
      <c r="AR6" s="149"/>
      <c r="AS6" s="149"/>
      <c r="AT6" s="150"/>
      <c r="AU6" s="151"/>
      <c r="AV6" s="152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</row>
    <row r="7" spans="1:90" s="12" customFormat="1" ht="24" customHeight="1" x14ac:dyDescent="0.25">
      <c r="A7" s="235">
        <v>6</v>
      </c>
      <c r="B7" s="236" t="s">
        <v>64</v>
      </c>
      <c r="C7" s="236" t="s">
        <v>64</v>
      </c>
      <c r="D7" s="235"/>
      <c r="E7" s="235"/>
      <c r="F7" s="235">
        <v>2</v>
      </c>
      <c r="G7" s="237" t="str">
        <f>_xlfn.IFNA(VLOOKUP(Pricing_Sheet[[#This Row],[ITEM]],Data!$A$2:$B$100,2,FALSE),"-")</f>
        <v>Nos</v>
      </c>
      <c r="H7" s="238" t="s">
        <v>48</v>
      </c>
      <c r="I7" s="236"/>
      <c r="J7" s="239">
        <f>_xlfn.IFNA(IF(M7='Price List'!$B$266,$AT$22,IF(M7='Price List'!$B$265,$AP$22,IF(AND(M7='Price List'!$B$267,$L$2=Data!$C$47),'Pricing Sheet'!$AF$22,IF(AND(M7='Price List'!$B$267,$L$2=Data!$C$48),$AE$22,IF(M7='Price List'!$B$269,'Pricing Sheet'!$AH$22,IF(M7='Price List'!$B$268,'Pricing Sheet'!$AJ$22,VLOOKUP(M7,'Price List'!$B$2:$Y$9827,24,FALSE))))))),0)</f>
        <v>1353.2616000000003</v>
      </c>
      <c r="K7" s="239">
        <f>Pricing_Sheet[[#This Row],[UNIT PRICE ]]*Pricing_Sheet[[#This Row],[QTY]]</f>
        <v>2706.5232000000005</v>
      </c>
      <c r="L7" s="187"/>
      <c r="M7" s="195" t="str">
        <f t="shared" si="0"/>
        <v>Oil Leak Detection Sensor Oil Leak Detection Sensor   Inpro</v>
      </c>
      <c r="N7" s="135">
        <f>IF(ISNA(VLOOKUP(M7,'Price List'!$B$2:$Y$9827,18,FALSE)),0,VLOOKUP(M7,'Price List'!$B$2:$Y$9827,18,FALSE))</f>
        <v>873.07200000000012</v>
      </c>
      <c r="O7" s="136">
        <f>IF(N7=0,0,N7*Pricing_Sheet[[#This Row],[QTY]])</f>
        <v>1746.1440000000002</v>
      </c>
      <c r="P7" s="136">
        <f>IF(ISNA(VLOOKUP(M7,'Price List'!$B$2:$Y$9827,19,FALSE)*Pricing_Sheet[[#This Row],[QTY]]+VLOOKUP(M7,'Price List'!$B$2:$Y$9827,20,FALSE)*Pricing_Sheet[[#This Row],[QTY]]),0,VLOOKUP(M7,'Price List'!$B$2:$Y$9827,19,FALSE)*Pricing_Sheet[[#This Row],[QTY]]+VLOOKUP(M7,'Price List'!$B$2:$Y$9827,20,FALSE)*Pricing_Sheet[[#This Row],[QTY]])</f>
        <v>261.92160000000007</v>
      </c>
      <c r="Q7" s="136">
        <f>IF(ISNA(VLOOKUP(M7,'Price List'!$B$2:$Y$9827,21,FALSE)),0,VLOOKUP(M7,'Price List'!$B$2:$Y$9827,21,FALSE)*Pricing_Sheet[[#This Row],[QTY]])</f>
        <v>698.45760000000018</v>
      </c>
      <c r="R7" s="136">
        <f>IF(N7=0,0,Pricing_Sheet[[#This Row],[UNIT PRICE ]])</f>
        <v>1353.2616000000003</v>
      </c>
      <c r="S7" s="137">
        <f>IF(R7=0,0,R7*Pricing_Sheet[[#This Row],[QTY]])</f>
        <v>2706.5232000000005</v>
      </c>
      <c r="T7" s="192">
        <f>IF(Pricing_Sheet[[#This Row],[Full Description]]='Price List'!$B$265,Electrical!$AA$27,IF(Pricing_Sheet[[#This Row],[Full Description]]='Price List'!$B$266,ATG!$S$2,IF(ISNA(VLOOKUP(M7,'Price List'!$B$2:$Z$9827,21,FALSE)),0,VLOOKUP(M7,'Price List'!$B$2:$Z$9827,25,FALSE))))</f>
        <v>2</v>
      </c>
      <c r="U7" s="138">
        <f>IFERROR(T7*Pricing_Sheet[[#This Row],[QTY]],0)</f>
        <v>4</v>
      </c>
      <c r="V7" s="139"/>
      <c r="W7" s="139"/>
      <c r="X7" s="140"/>
      <c r="Y7" s="141"/>
      <c r="Z7" s="143"/>
      <c r="AA7" s="140"/>
      <c r="AB7" s="141"/>
      <c r="AC7" s="139"/>
      <c r="AD7" s="142"/>
      <c r="AE7" s="141"/>
      <c r="AF7" s="142"/>
      <c r="AG7" s="303">
        <f>IF(M7='Price List'!$B$269,1,0)</f>
        <v>0</v>
      </c>
      <c r="AH7" s="216"/>
      <c r="AI7" s="216">
        <f>IF(M7='Price List'!$B$268,1,0)</f>
        <v>0</v>
      </c>
      <c r="AJ7" s="216"/>
      <c r="AK7" s="216"/>
      <c r="AL7" s="217"/>
      <c r="AM7" s="145"/>
      <c r="AN7" s="146"/>
      <c r="AO7" s="146"/>
      <c r="AP7" s="147"/>
      <c r="AQ7" s="148"/>
      <c r="AR7" s="149"/>
      <c r="AS7" s="149"/>
      <c r="AT7" s="150"/>
      <c r="AU7" s="151"/>
      <c r="AV7" s="152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</row>
    <row r="8" spans="1:90" s="12" customFormat="1" ht="24" customHeight="1" x14ac:dyDescent="0.25">
      <c r="A8" s="235">
        <v>7</v>
      </c>
      <c r="B8" s="236" t="s">
        <v>574</v>
      </c>
      <c r="C8" s="236" t="s">
        <v>61</v>
      </c>
      <c r="D8" s="235"/>
      <c r="E8" s="235" t="s">
        <v>97</v>
      </c>
      <c r="F8" s="235">
        <v>1</v>
      </c>
      <c r="G8" s="237" t="str">
        <f>_xlfn.IFNA(VLOOKUP(Pricing_Sheet[[#This Row],[ITEM]],Data!$A$2:$B$100,2,FALSE),"-")</f>
        <v>Nos</v>
      </c>
      <c r="H8" s="238" t="s">
        <v>62</v>
      </c>
      <c r="I8" s="236"/>
      <c r="J8" s="239">
        <f>_xlfn.IFNA(IF(M8='Price List'!$B$266,$AT$22,IF(M8='Price List'!$B$265,$AP$22,IF(AND(M8='Price List'!$B$267,$L$2=Data!$C$47),'Pricing Sheet'!$AF$22,IF(AND(M8='Price List'!$B$267,$L$2=Data!$C$48),$AE$22,IF(M8='Price List'!$B$269,'Pricing Sheet'!$AH$22,IF(M8='Price List'!$B$268,'Pricing Sheet'!$AJ$22,VLOOKUP(M8,'Price List'!$B$2:$Y$9827,24,FALSE))))))),0)</f>
        <v>835.37250000000017</v>
      </c>
      <c r="K8" s="239">
        <f>Pricing_Sheet[[#This Row],[UNIT PRICE ]]*Pricing_Sheet[[#This Row],[QTY]]</f>
        <v>835.37250000000017</v>
      </c>
      <c r="L8" s="187"/>
      <c r="M8" s="195" t="str">
        <f>B8&amp;" "&amp;C8&amp;" "&amp;D8&amp;" "&amp;E8&amp;" "&amp;H8</f>
        <v>Valve Solenoid Valve  25 mm Parker</v>
      </c>
      <c r="N8" s="135">
        <f>IF(ISNA(VLOOKUP(M8,'Price List'!$B$2:$Y$9827,18,FALSE)),0,VLOOKUP(M8,'Price List'!$B$2:$Y$9827,18,FALSE))</f>
        <v>538.95000000000005</v>
      </c>
      <c r="O8" s="136">
        <f>IF(N8=0,0,N8*Pricing_Sheet[[#This Row],[QTY]])</f>
        <v>538.95000000000005</v>
      </c>
      <c r="P8" s="136">
        <f>IF(ISNA(VLOOKUP(M8,'Price List'!$B$2:$Y$9827,19,FALSE)*Pricing_Sheet[[#This Row],[QTY]]+VLOOKUP(M8,'Price List'!$B$2:$Y$9827,20,FALSE)*Pricing_Sheet[[#This Row],[QTY]]),0,VLOOKUP(M8,'Price List'!$B$2:$Y$9827,19,FALSE)*Pricing_Sheet[[#This Row],[QTY]]+VLOOKUP(M8,'Price List'!$B$2:$Y$9827,20,FALSE)*Pricing_Sheet[[#This Row],[QTY]])</f>
        <v>80.842500000000015</v>
      </c>
      <c r="Q8" s="136">
        <f>IF(ISNA(VLOOKUP(M8,'Price List'!$B$2:$Y$9827,21,FALSE)),0,VLOOKUP(M8,'Price List'!$B$2:$Y$9827,21,FALSE)*Pricing_Sheet[[#This Row],[QTY]])</f>
        <v>215.58000000000004</v>
      </c>
      <c r="R8" s="136">
        <f>IF(N8=0,0,Pricing_Sheet[[#This Row],[UNIT PRICE ]])</f>
        <v>835.37250000000017</v>
      </c>
      <c r="S8" s="137">
        <f>IF(R8=0,0,R8*Pricing_Sheet[[#This Row],[QTY]])</f>
        <v>835.37250000000017</v>
      </c>
      <c r="T8" s="192">
        <f>IF(Pricing_Sheet[[#This Row],[Full Description]]='Price List'!$B$265,Electrical!$AA$27,IF(Pricing_Sheet[[#This Row],[Full Description]]='Price List'!$B$266,ATG!$S$2,IF(ISNA(VLOOKUP(M8,'Price List'!$B$2:$Z$9827,21,FALSE)),0,VLOOKUP(M8,'Price List'!$B$2:$Z$9827,25,FALSE))))</f>
        <v>2</v>
      </c>
      <c r="U8" s="138">
        <f>IFERROR(T8*Pricing_Sheet[[#This Row],[QTY]],0)</f>
        <v>2</v>
      </c>
      <c r="V8" s="139"/>
      <c r="W8" s="139"/>
      <c r="X8" s="140"/>
      <c r="Y8" s="141"/>
      <c r="Z8" s="143"/>
      <c r="AA8" s="140"/>
      <c r="AB8" s="141"/>
      <c r="AC8" s="139"/>
      <c r="AD8" s="142"/>
      <c r="AE8" s="141"/>
      <c r="AF8" s="142"/>
      <c r="AG8" s="303">
        <f>IF(M8='Price List'!$B$269,1,0)</f>
        <v>0</v>
      </c>
      <c r="AH8" s="216"/>
      <c r="AI8" s="216">
        <f>IF(M8='Price List'!$B$268,1,0)</f>
        <v>0</v>
      </c>
      <c r="AJ8" s="216"/>
      <c r="AK8" s="216"/>
      <c r="AL8" s="217"/>
      <c r="AM8" s="145"/>
      <c r="AN8" s="146"/>
      <c r="AO8" s="146"/>
      <c r="AP8" s="147"/>
      <c r="AQ8" s="148"/>
      <c r="AR8" s="149"/>
      <c r="AS8" s="149"/>
      <c r="AT8" s="150"/>
      <c r="AU8" s="151"/>
      <c r="AV8" s="152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</row>
    <row r="9" spans="1:90" s="12" customFormat="1" ht="24" customHeight="1" x14ac:dyDescent="0.25">
      <c r="A9" s="235">
        <v>8</v>
      </c>
      <c r="B9" s="236" t="s">
        <v>575</v>
      </c>
      <c r="C9" s="236" t="s">
        <v>63</v>
      </c>
      <c r="D9" s="235"/>
      <c r="E9" s="235" t="s">
        <v>97</v>
      </c>
      <c r="F9" s="235">
        <v>1</v>
      </c>
      <c r="G9" s="237" t="str">
        <f>_xlfn.IFNA(VLOOKUP(Pricing_Sheet[[#This Row],[ITEM]],Data!$A$2:$B$100,2,FALSE),"-")</f>
        <v>Nos</v>
      </c>
      <c r="H9" s="238" t="s">
        <v>32</v>
      </c>
      <c r="I9" s="236"/>
      <c r="J9" s="239">
        <f>_xlfn.IFNA(IF(M9='Price List'!$B$266,$AT$22,IF(M9='Price List'!$B$265,$AP$22,IF(AND(M9='Price List'!$B$267,$L$2=Data!$C$47),'Pricing Sheet'!$AF$22,IF(AND(M9='Price List'!$B$267,$L$2=Data!$C$48),$AE$22,IF(M9='Price List'!$B$269,'Pricing Sheet'!$AH$22,IF(M9='Price List'!$B$268,'Pricing Sheet'!$AJ$22,VLOOKUP(M9,'Price List'!$B$2:$Y$9827,24,FALSE))))))),0)</f>
        <v>204.60000000000002</v>
      </c>
      <c r="K9" s="239">
        <f>Pricing_Sheet[[#This Row],[UNIT PRICE ]]*Pricing_Sheet[[#This Row],[QTY]]</f>
        <v>204.60000000000002</v>
      </c>
      <c r="L9" s="187"/>
      <c r="M9" s="195" t="str">
        <f>B9&amp;" "&amp;C9&amp;" "&amp;D9&amp;" "&amp;E9&amp;" "&amp;H9</f>
        <v>Pipe Accessories Y Strainer  25 mm GALA</v>
      </c>
      <c r="N9" s="135">
        <f>IF(ISNA(VLOOKUP(M9,'Price List'!$B$2:$Y$9827,18,FALSE)),0,VLOOKUP(M9,'Price List'!$B$2:$Y$9827,18,FALSE))</f>
        <v>132</v>
      </c>
      <c r="O9" s="136">
        <f>IF(N9=0,0,N9*Pricing_Sheet[[#This Row],[QTY]])</f>
        <v>132</v>
      </c>
      <c r="P9" s="136">
        <f>IF(ISNA(VLOOKUP(M9,'Price List'!$B$2:$Y$9827,19,FALSE)*Pricing_Sheet[[#This Row],[QTY]]+VLOOKUP(M9,'Price List'!$B$2:$Y$9827,20,FALSE)*Pricing_Sheet[[#This Row],[QTY]]),0,VLOOKUP(M9,'Price List'!$B$2:$Y$9827,19,FALSE)*Pricing_Sheet[[#This Row],[QTY]]+VLOOKUP(M9,'Price List'!$B$2:$Y$9827,20,FALSE)*Pricing_Sheet[[#This Row],[QTY]])</f>
        <v>19.8</v>
      </c>
      <c r="Q9" s="136">
        <f>IF(ISNA(VLOOKUP(M9,'Price List'!$B$2:$Y$9827,21,FALSE)),0,VLOOKUP(M9,'Price List'!$B$2:$Y$9827,21,FALSE)*Pricing_Sheet[[#This Row],[QTY]])</f>
        <v>52.800000000000004</v>
      </c>
      <c r="R9" s="136">
        <f>IF(N9=0,0,Pricing_Sheet[[#This Row],[UNIT PRICE ]])</f>
        <v>204.60000000000002</v>
      </c>
      <c r="S9" s="137">
        <f>IF(R9=0,0,R9*Pricing_Sheet[[#This Row],[QTY]])</f>
        <v>204.60000000000002</v>
      </c>
      <c r="T9" s="192">
        <f>IF(Pricing_Sheet[[#This Row],[Full Description]]='Price List'!$B$265,Electrical!$AA$27,IF(Pricing_Sheet[[#This Row],[Full Description]]='Price List'!$B$266,ATG!$S$2,IF(ISNA(VLOOKUP(M9,'Price List'!$B$2:$Z$9827,21,FALSE)),0,VLOOKUP(M9,'Price List'!$B$2:$Z$9827,25,FALSE))))</f>
        <v>2</v>
      </c>
      <c r="U9" s="138">
        <f>IFERROR(T9*Pricing_Sheet[[#This Row],[QTY]],0)</f>
        <v>2</v>
      </c>
      <c r="V9" s="139"/>
      <c r="W9" s="139"/>
      <c r="X9" s="140"/>
      <c r="Y9" s="141"/>
      <c r="Z9" s="143"/>
      <c r="AA9" s="140"/>
      <c r="AB9" s="141"/>
      <c r="AC9" s="139"/>
      <c r="AD9" s="142"/>
      <c r="AE9" s="141"/>
      <c r="AF9" s="142"/>
      <c r="AG9" s="303">
        <f>IF(M9='Price List'!$B$269,1,0)</f>
        <v>0</v>
      </c>
      <c r="AH9" s="216"/>
      <c r="AI9" s="216">
        <f>IF(M9='Price List'!$B$268,1,0)</f>
        <v>0</v>
      </c>
      <c r="AJ9" s="216"/>
      <c r="AK9" s="216"/>
      <c r="AL9" s="217"/>
      <c r="AM9" s="145"/>
      <c r="AN9" s="146"/>
      <c r="AO9" s="146"/>
      <c r="AP9" s="147"/>
      <c r="AQ9" s="148"/>
      <c r="AR9" s="149"/>
      <c r="AS9" s="149"/>
      <c r="AT9" s="150"/>
      <c r="AU9" s="151"/>
      <c r="AV9" s="152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</row>
    <row r="10" spans="1:90" s="12" customFormat="1" ht="24" customHeight="1" x14ac:dyDescent="0.25">
      <c r="A10" s="235">
        <v>9</v>
      </c>
      <c r="B10" s="236" t="s">
        <v>574</v>
      </c>
      <c r="C10" s="236" t="s">
        <v>23</v>
      </c>
      <c r="D10" s="235"/>
      <c r="E10" s="235" t="s">
        <v>97</v>
      </c>
      <c r="F10" s="235">
        <v>3</v>
      </c>
      <c r="G10" s="237" t="str">
        <f>_xlfn.IFNA(VLOOKUP(Pricing_Sheet[[#This Row],[ITEM]],Data!$A$2:$B$100,2,FALSE),"-")</f>
        <v>Nos</v>
      </c>
      <c r="H10" s="238" t="s">
        <v>520</v>
      </c>
      <c r="I10" s="236"/>
      <c r="J10" s="239">
        <f>_xlfn.IFNA(IF(M10='Price List'!$B$266,$AT$22,IF(M10='Price List'!$B$265,$AP$22,IF(AND(M10='Price List'!$B$267,$L$2=Data!$C$47),'Pricing Sheet'!$AF$22,IF(AND(M10='Price List'!$B$267,$L$2=Data!$C$48),$AE$22,IF(M10='Price List'!$B$269,'Pricing Sheet'!$AH$22,IF(M10='Price List'!$B$268,'Pricing Sheet'!$AJ$22,VLOOKUP(M10,'Price List'!$B$2:$Y$9827,24,FALSE))))))),0)</f>
        <v>125.38725000000002</v>
      </c>
      <c r="K10" s="239">
        <f>Pricing_Sheet[[#This Row],[UNIT PRICE ]]*Pricing_Sheet[[#This Row],[QTY]]</f>
        <v>376.1617500000001</v>
      </c>
      <c r="L10" s="187"/>
      <c r="M10" s="195" t="str">
        <f t="shared" si="0"/>
        <v>Valve Ball Valve  25 mm Bond</v>
      </c>
      <c r="N10" s="135">
        <f>IF(ISNA(VLOOKUP(M10,'Price List'!$B$2:$Y$9827,18,FALSE)),0,VLOOKUP(M10,'Price List'!$B$2:$Y$9827,18,FALSE))</f>
        <v>80.89500000000001</v>
      </c>
      <c r="O10" s="136">
        <f>IF(N10=0,0,N10*Pricing_Sheet[[#This Row],[QTY]])</f>
        <v>242.68500000000003</v>
      </c>
      <c r="P10" s="136">
        <f>IF(ISNA(VLOOKUP(M10,'Price List'!$B$2:$Y$9827,19,FALSE)*Pricing_Sheet[[#This Row],[QTY]]+VLOOKUP(M10,'Price List'!$B$2:$Y$9827,20,FALSE)*Pricing_Sheet[[#This Row],[QTY]]),0,VLOOKUP(M10,'Price List'!$B$2:$Y$9827,19,FALSE)*Pricing_Sheet[[#This Row],[QTY]]+VLOOKUP(M10,'Price List'!$B$2:$Y$9827,20,FALSE)*Pricing_Sheet[[#This Row],[QTY]])</f>
        <v>36.402750000000005</v>
      </c>
      <c r="Q10" s="136">
        <f>IF(ISNA(VLOOKUP(M10,'Price List'!$B$2:$Y$9827,21,FALSE)),0,VLOOKUP(M10,'Price List'!$B$2:$Y$9827,21,FALSE)*Pricing_Sheet[[#This Row],[QTY]])</f>
        <v>97.074000000000012</v>
      </c>
      <c r="R10" s="136">
        <f>IF(N10=0,0,Pricing_Sheet[[#This Row],[UNIT PRICE ]])</f>
        <v>125.38725000000002</v>
      </c>
      <c r="S10" s="137">
        <f>IF(R10=0,0,R10*Pricing_Sheet[[#This Row],[QTY]])</f>
        <v>376.1617500000001</v>
      </c>
      <c r="T10" s="192">
        <f>IF(Pricing_Sheet[[#This Row],[Full Description]]='Price List'!$B$265,Electrical!$AA$27,IF(Pricing_Sheet[[#This Row],[Full Description]]='Price List'!$B$266,ATG!$S$2,IF(ISNA(VLOOKUP(M10,'Price List'!$B$2:$Z$9827,21,FALSE)),0,VLOOKUP(M10,'Price List'!$B$2:$Z$9827,25,FALSE))))</f>
        <v>2</v>
      </c>
      <c r="U10" s="138">
        <f>IFERROR(T10*Pricing_Sheet[[#This Row],[QTY]],0)</f>
        <v>6</v>
      </c>
      <c r="V10" s="139"/>
      <c r="W10" s="139"/>
      <c r="X10" s="140"/>
      <c r="Y10" s="141"/>
      <c r="Z10" s="143"/>
      <c r="AA10" s="140"/>
      <c r="AB10" s="141"/>
      <c r="AC10" s="139"/>
      <c r="AD10" s="142"/>
      <c r="AE10" s="141"/>
      <c r="AF10" s="142"/>
      <c r="AG10" s="303">
        <f>IF(M10='Price List'!$B$269,1,0)</f>
        <v>0</v>
      </c>
      <c r="AH10" s="216"/>
      <c r="AI10" s="216">
        <f>IF(M10='Price List'!$B$268,1,0)</f>
        <v>0</v>
      </c>
      <c r="AJ10" s="216"/>
      <c r="AK10" s="216"/>
      <c r="AL10" s="217"/>
      <c r="AM10" s="145"/>
      <c r="AN10" s="146"/>
      <c r="AO10" s="146"/>
      <c r="AP10" s="147"/>
      <c r="AQ10" s="148"/>
      <c r="AR10" s="149"/>
      <c r="AS10" s="149"/>
      <c r="AT10" s="150"/>
      <c r="AU10" s="151"/>
      <c r="AV10" s="152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</row>
    <row r="11" spans="1:90" s="12" customFormat="1" ht="24" customHeight="1" x14ac:dyDescent="0.25">
      <c r="A11" s="235">
        <v>10</v>
      </c>
      <c r="B11" s="236" t="s">
        <v>574</v>
      </c>
      <c r="C11" s="236" t="s">
        <v>33</v>
      </c>
      <c r="D11" s="235"/>
      <c r="E11" s="235" t="s">
        <v>97</v>
      </c>
      <c r="F11" s="235">
        <v>1</v>
      </c>
      <c r="G11" s="237" t="str">
        <f>_xlfn.IFNA(VLOOKUP(Pricing_Sheet[[#This Row],[ITEM]],Data!$A$2:$B$100,2,FALSE),"-")</f>
        <v>Nos</v>
      </c>
      <c r="H11" s="238" t="s">
        <v>522</v>
      </c>
      <c r="I11" s="236"/>
      <c r="J11" s="239">
        <f>_xlfn.IFNA(IF(M11='Price List'!$B$266,$AT$22,IF(M11='Price List'!$B$265,$AP$22,IF(AND(M11='Price List'!$B$267,$L$2=Data!$C$47),'Pricing Sheet'!$AF$22,IF(AND(M11='Price List'!$B$267,$L$2=Data!$C$48),$AE$22,IF(M11='Price List'!$B$269,'Pricing Sheet'!$AH$22,IF(M11='Price List'!$B$268,'Pricing Sheet'!$AJ$22,VLOOKUP(M11,'Price List'!$B$2:$Y$9827,24,FALSE))))))),0)</f>
        <v>401.49262500000009</v>
      </c>
      <c r="K11" s="239">
        <f>Pricing_Sheet[[#This Row],[UNIT PRICE ]]*Pricing_Sheet[[#This Row],[QTY]]</f>
        <v>401.49262500000009</v>
      </c>
      <c r="L11" s="187"/>
      <c r="M11" s="195" t="str">
        <f t="shared" si="0"/>
        <v>Valve Check Valve  25 mm Jomar</v>
      </c>
      <c r="N11" s="135">
        <f>IF(ISNA(VLOOKUP(M11,'Price List'!$B$2:$Y$9827,18,FALSE)),0,VLOOKUP(M11,'Price List'!$B$2:$Y$9827,18,FALSE))</f>
        <v>259.02750000000003</v>
      </c>
      <c r="O11" s="136">
        <f>IF(N11=0,0,N11*Pricing_Sheet[[#This Row],[QTY]])</f>
        <v>259.02750000000003</v>
      </c>
      <c r="P11" s="136">
        <f>IF(ISNA(VLOOKUP(M11,'Price List'!$B$2:$Y$9827,19,FALSE)*Pricing_Sheet[[#This Row],[QTY]]+VLOOKUP(M11,'Price List'!$B$2:$Y$9827,20,FALSE)*Pricing_Sheet[[#This Row],[QTY]]),0,VLOOKUP(M11,'Price List'!$B$2:$Y$9827,19,FALSE)*Pricing_Sheet[[#This Row],[QTY]]+VLOOKUP(M11,'Price List'!$B$2:$Y$9827,20,FALSE)*Pricing_Sheet[[#This Row],[QTY]])</f>
        <v>38.85412500000001</v>
      </c>
      <c r="Q11" s="136">
        <f>IF(ISNA(VLOOKUP(M11,'Price List'!$B$2:$Y$9827,21,FALSE)),0,VLOOKUP(M11,'Price List'!$B$2:$Y$9827,21,FALSE)*Pricing_Sheet[[#This Row],[QTY]])</f>
        <v>103.61100000000002</v>
      </c>
      <c r="R11" s="136">
        <f>IF(N11=0,0,Pricing_Sheet[[#This Row],[UNIT PRICE ]])</f>
        <v>401.49262500000009</v>
      </c>
      <c r="S11" s="137">
        <f>IF(R11=0,0,R11*Pricing_Sheet[[#This Row],[QTY]])</f>
        <v>401.49262500000009</v>
      </c>
      <c r="T11" s="192">
        <f>IF(Pricing_Sheet[[#This Row],[Full Description]]='Price List'!$B$265,Electrical!$AA$27,IF(Pricing_Sheet[[#This Row],[Full Description]]='Price List'!$B$266,ATG!$S$2,IF(ISNA(VLOOKUP(M11,'Price List'!$B$2:$Z$9827,21,FALSE)),0,VLOOKUP(M11,'Price List'!$B$2:$Z$9827,25,FALSE))))</f>
        <v>2</v>
      </c>
      <c r="U11" s="138">
        <f>IFERROR(T11*Pricing_Sheet[[#This Row],[QTY]],0)</f>
        <v>2</v>
      </c>
      <c r="V11" s="139"/>
      <c r="W11" s="139"/>
      <c r="X11" s="140"/>
      <c r="Y11" s="141"/>
      <c r="Z11" s="143"/>
      <c r="AA11" s="140"/>
      <c r="AB11" s="141"/>
      <c r="AC11" s="139"/>
      <c r="AD11" s="142"/>
      <c r="AE11" s="141"/>
      <c r="AF11" s="142"/>
      <c r="AG11" s="303">
        <f>IF(M11='Price List'!$B$269,1,0)</f>
        <v>0</v>
      </c>
      <c r="AH11" s="216"/>
      <c r="AI11" s="216">
        <f>IF(M11='Price List'!$B$268,1,0)</f>
        <v>0</v>
      </c>
      <c r="AJ11" s="216"/>
      <c r="AK11" s="216"/>
      <c r="AL11" s="217"/>
      <c r="AM11" s="145"/>
      <c r="AN11" s="146"/>
      <c r="AO11" s="146"/>
      <c r="AP11" s="147"/>
      <c r="AQ11" s="148"/>
      <c r="AR11" s="149"/>
      <c r="AS11" s="149"/>
      <c r="AT11" s="150"/>
      <c r="AU11" s="151"/>
      <c r="AV11" s="152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</row>
    <row r="12" spans="1:90" s="12" customFormat="1" ht="24" customHeight="1" x14ac:dyDescent="0.25">
      <c r="A12" s="235">
        <v>11</v>
      </c>
      <c r="B12" s="236" t="s">
        <v>574</v>
      </c>
      <c r="C12" s="236" t="s">
        <v>34</v>
      </c>
      <c r="D12" s="235"/>
      <c r="E12" s="235" t="s">
        <v>98</v>
      </c>
      <c r="F12" s="235">
        <v>1</v>
      </c>
      <c r="G12" s="237" t="str">
        <f>_xlfn.IFNA(VLOOKUP(Pricing_Sheet[[#This Row],[ITEM]],Data!$A$2:$B$100,2,FALSE),"-")</f>
        <v>Nos</v>
      </c>
      <c r="H12" s="238" t="s">
        <v>35</v>
      </c>
      <c r="I12" s="236"/>
      <c r="J12" s="239">
        <f>_xlfn.IFNA(IF(M12='Price List'!$B$266,$AT$22,IF(M12='Price List'!$B$265,$AP$22,IF(AND(M12='Price List'!$B$267,$L$2=Data!$C$47),'Pricing Sheet'!$AF$22,IF(AND(M12='Price List'!$B$267,$L$2=Data!$C$48),$AE$22,IF(M12='Price List'!$B$269,'Pricing Sheet'!$AH$22,IF(M12='Price List'!$B$268,'Pricing Sheet'!$AJ$22,VLOOKUP(M12,'Price List'!$B$2:$Y$9827,24,FALSE))))))),0)</f>
        <v>1150.9214999999999</v>
      </c>
      <c r="K12" s="239">
        <f>Pricing_Sheet[[#This Row],[UNIT PRICE ]]*Pricing_Sheet[[#This Row],[QTY]]</f>
        <v>1150.9214999999999</v>
      </c>
      <c r="L12" s="187"/>
      <c r="M12" s="195" t="str">
        <f>B12&amp;" "&amp;C12&amp;" "&amp;D12&amp;" "&amp;E12&amp;" "&amp;H12</f>
        <v>Valve Emergency Shutoff Valve  40 mm OPW</v>
      </c>
      <c r="N12" s="135">
        <f>IF(ISNA(VLOOKUP(M12,'Price List'!$B$2:$Y$9827,18,FALSE)),0,VLOOKUP(M12,'Price List'!$B$2:$Y$9827,18,FALSE))</f>
        <v>742.53</v>
      </c>
      <c r="O12" s="136">
        <f>IF(N12=0,0,N12*Pricing_Sheet[[#This Row],[QTY]])</f>
        <v>742.53</v>
      </c>
      <c r="P12" s="136">
        <f>IF(ISNA(VLOOKUP(M12,'Price List'!$B$2:$Y$9827,19,FALSE)*Pricing_Sheet[[#This Row],[QTY]]+VLOOKUP(M12,'Price List'!$B$2:$Y$9827,20,FALSE)*Pricing_Sheet[[#This Row],[QTY]]),0,VLOOKUP(M12,'Price List'!$B$2:$Y$9827,19,FALSE)*Pricing_Sheet[[#This Row],[QTY]]+VLOOKUP(M12,'Price List'!$B$2:$Y$9827,20,FALSE)*Pricing_Sheet[[#This Row],[QTY]])</f>
        <v>111.37950000000001</v>
      </c>
      <c r="Q12" s="136">
        <f>IF(ISNA(VLOOKUP(M12,'Price List'!$B$2:$Y$9827,21,FALSE)),0,VLOOKUP(M12,'Price List'!$B$2:$Y$9827,21,FALSE)*Pricing_Sheet[[#This Row],[QTY]])</f>
        <v>297.012</v>
      </c>
      <c r="R12" s="136">
        <f>IF(N12=0,0,Pricing_Sheet[[#This Row],[UNIT PRICE ]])</f>
        <v>1150.9214999999999</v>
      </c>
      <c r="S12" s="137">
        <f>IF(R12=0,0,R12*Pricing_Sheet[[#This Row],[QTY]])</f>
        <v>1150.9214999999999</v>
      </c>
      <c r="T12" s="192">
        <f>IF(Pricing_Sheet[[#This Row],[Full Description]]='Price List'!$B$265,Electrical!$AA$27,IF(Pricing_Sheet[[#This Row],[Full Description]]='Price List'!$B$266,ATG!$S$2,IF(ISNA(VLOOKUP(M12,'Price List'!$B$2:$Z$9827,21,FALSE)),0,VLOOKUP(M12,'Price List'!$B$2:$Z$9827,25,FALSE))))</f>
        <v>2</v>
      </c>
      <c r="U12" s="138">
        <f>IFERROR(T12*Pricing_Sheet[[#This Row],[QTY]],0)</f>
        <v>2</v>
      </c>
      <c r="V12" s="139"/>
      <c r="W12" s="139"/>
      <c r="X12" s="140"/>
      <c r="Y12" s="141"/>
      <c r="Z12" s="143"/>
      <c r="AA12" s="140"/>
      <c r="AB12" s="141"/>
      <c r="AC12" s="139"/>
      <c r="AD12" s="142"/>
      <c r="AE12" s="141"/>
      <c r="AF12" s="142"/>
      <c r="AG12" s="303">
        <f>IF(M12='Price List'!$B$269,1,0)</f>
        <v>0</v>
      </c>
      <c r="AH12" s="216"/>
      <c r="AI12" s="216">
        <f>IF(M12='Price List'!$B$268,1,0)</f>
        <v>0</v>
      </c>
      <c r="AJ12" s="216"/>
      <c r="AK12" s="216"/>
      <c r="AL12" s="217"/>
      <c r="AM12" s="145"/>
      <c r="AN12" s="146"/>
      <c r="AO12" s="146"/>
      <c r="AP12" s="147"/>
      <c r="AQ12" s="148"/>
      <c r="AR12" s="149"/>
      <c r="AS12" s="149"/>
      <c r="AT12" s="150"/>
      <c r="AU12" s="151"/>
      <c r="AV12" s="15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</row>
    <row r="13" spans="1:90" s="12" customFormat="1" ht="24" customHeight="1" x14ac:dyDescent="0.25">
      <c r="A13" s="235">
        <v>12</v>
      </c>
      <c r="B13" s="236" t="s">
        <v>575</v>
      </c>
      <c r="C13" s="236" t="s">
        <v>90</v>
      </c>
      <c r="D13" s="235"/>
      <c r="E13" s="235" t="s">
        <v>97</v>
      </c>
      <c r="F13" s="235">
        <v>2</v>
      </c>
      <c r="G13" s="237" t="str">
        <f>_xlfn.IFNA(VLOOKUP(Pricing_Sheet[[#This Row],[ITEM]],Data!$A$2:$B$100,2,FALSE),"-")</f>
        <v>Nos</v>
      </c>
      <c r="H13" s="238" t="s">
        <v>56</v>
      </c>
      <c r="I13" s="236"/>
      <c r="J13" s="239">
        <f>_xlfn.IFNA(IF(M13='Price List'!$B$266,$AT$22,IF(M13='Price List'!$B$265,$AP$22,IF(AND(M13='Price List'!$B$267,$L$2=Data!$C$47),'Pricing Sheet'!$AF$22,IF(AND(M13='Price List'!$B$267,$L$2=Data!$C$48),$AE$22,IF(M13='Price List'!$B$269,'Pricing Sheet'!$AH$22,IF(M13='Price List'!$B$268,'Pricing Sheet'!$AJ$22,VLOOKUP(M13,'Price List'!$B$2:$Y$9827,24,FALSE))))))),0)</f>
        <v>263.5</v>
      </c>
      <c r="K13" s="239">
        <f>Pricing_Sheet[[#This Row],[UNIT PRICE ]]*Pricing_Sheet[[#This Row],[QTY]]</f>
        <v>527</v>
      </c>
      <c r="L13" s="187"/>
      <c r="M13" s="195" t="str">
        <f>B13&amp;" "&amp;C13&amp;" "&amp;D13&amp;" "&amp;E13&amp;" "&amp;H13</f>
        <v>Pipe Accessories Flexible Hose  25 mm Vector</v>
      </c>
      <c r="N13" s="135">
        <f>IF(ISNA(VLOOKUP(M13,'Price List'!$B$2:$Y$9827,18,FALSE)),0,VLOOKUP(M13,'Price List'!$B$2:$Y$9827,18,FALSE))</f>
        <v>170</v>
      </c>
      <c r="O13" s="136">
        <f>IF(N13=0,0,N13*Pricing_Sheet[[#This Row],[QTY]])</f>
        <v>340</v>
      </c>
      <c r="P13" s="136">
        <f>IF(ISNA(VLOOKUP(M13,'Price List'!$B$2:$Y$9827,19,FALSE)*Pricing_Sheet[[#This Row],[QTY]]+VLOOKUP(M13,'Price List'!$B$2:$Y$9827,20,FALSE)*Pricing_Sheet[[#This Row],[QTY]]),0,VLOOKUP(M13,'Price List'!$B$2:$Y$9827,19,FALSE)*Pricing_Sheet[[#This Row],[QTY]]+VLOOKUP(M13,'Price List'!$B$2:$Y$9827,20,FALSE)*Pricing_Sheet[[#This Row],[QTY]])</f>
        <v>51</v>
      </c>
      <c r="Q13" s="136">
        <f>IF(ISNA(VLOOKUP(M13,'Price List'!$B$2:$Y$9827,21,FALSE)),0,VLOOKUP(M13,'Price List'!$B$2:$Y$9827,21,FALSE)*Pricing_Sheet[[#This Row],[QTY]])</f>
        <v>136</v>
      </c>
      <c r="R13" s="136">
        <f>IF(N13=0,0,Pricing_Sheet[[#This Row],[UNIT PRICE ]])</f>
        <v>263.5</v>
      </c>
      <c r="S13" s="137">
        <f>IF(R13=0,0,R13*Pricing_Sheet[[#This Row],[QTY]])</f>
        <v>527</v>
      </c>
      <c r="T13" s="192">
        <f>IF(Pricing_Sheet[[#This Row],[Full Description]]='Price List'!$B$265,Electrical!$AA$27,IF(Pricing_Sheet[[#This Row],[Full Description]]='Price List'!$B$266,ATG!$S$2,IF(ISNA(VLOOKUP(M13,'Price List'!$B$2:$Z$9827,21,FALSE)),0,VLOOKUP(M13,'Price List'!$B$2:$Z$9827,25,FALSE))))</f>
        <v>2</v>
      </c>
      <c r="U13" s="138">
        <f>IFERROR(T13*Pricing_Sheet[[#This Row],[QTY]],0)</f>
        <v>4</v>
      </c>
      <c r="V13" s="139"/>
      <c r="W13" s="139"/>
      <c r="X13" s="140"/>
      <c r="Y13" s="141"/>
      <c r="Z13" s="143"/>
      <c r="AA13" s="140"/>
      <c r="AB13" s="141"/>
      <c r="AC13" s="139"/>
      <c r="AD13" s="142"/>
      <c r="AE13" s="141"/>
      <c r="AF13" s="142"/>
      <c r="AG13" s="303">
        <f>IF(M13='Price List'!$B$269,1,0)</f>
        <v>0</v>
      </c>
      <c r="AH13" s="216"/>
      <c r="AI13" s="216">
        <f>IF(M13='Price List'!$B$268,1,0)</f>
        <v>0</v>
      </c>
      <c r="AJ13" s="216"/>
      <c r="AK13" s="216"/>
      <c r="AL13" s="217"/>
      <c r="AM13" s="145"/>
      <c r="AN13" s="146"/>
      <c r="AO13" s="146"/>
      <c r="AP13" s="147"/>
      <c r="AQ13" s="148"/>
      <c r="AR13" s="149"/>
      <c r="AS13" s="149"/>
      <c r="AT13" s="150"/>
      <c r="AU13" s="151"/>
      <c r="AV13" s="152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</row>
    <row r="14" spans="1:90" s="12" customFormat="1" ht="24" customHeight="1" x14ac:dyDescent="0.25">
      <c r="A14" s="235">
        <v>13</v>
      </c>
      <c r="B14" s="236" t="s">
        <v>122</v>
      </c>
      <c r="C14" s="236" t="s">
        <v>322</v>
      </c>
      <c r="D14" s="235"/>
      <c r="E14" s="235"/>
      <c r="F14" s="235">
        <v>1</v>
      </c>
      <c r="G14" s="237" t="str">
        <f>_xlfn.IFNA(VLOOKUP(Pricing_Sheet[[#This Row],[ITEM]],Data!$A$2:$B$100,2,FALSE),"-")</f>
        <v>Nos</v>
      </c>
      <c r="H14" s="238" t="s">
        <v>39</v>
      </c>
      <c r="I14" s="236"/>
      <c r="J14" s="239">
        <f>_xlfn.IFNA(IF(M14='Price List'!$B$266,$AT$22,IF(M14='Price List'!$B$265,$AP$22,IF(AND(M14='Price List'!$B$267,$L$2=Data!$C$47),'Pricing Sheet'!$AF$22,IF(AND(M14='Price List'!$B$267,$L$2=Data!$C$48),$AE$22,IF(M14='Price List'!$B$269,'Pricing Sheet'!$AH$22,IF(M14='Price List'!$B$268,'Pricing Sheet'!$AJ$22,VLOOKUP(M14,'Price List'!$B$2:$Y$9827,24,FALSE))))))),0)</f>
        <v>12400</v>
      </c>
      <c r="K14" s="239">
        <f>Pricing_Sheet[[#This Row],[UNIT PRICE ]]*Pricing_Sheet[[#This Row],[QTY]]</f>
        <v>12400</v>
      </c>
      <c r="L14" s="187"/>
      <c r="M14" s="195" t="str">
        <f t="shared" si="0"/>
        <v>Master Control Panel Master Control Panel - Size A   Al Fanar</v>
      </c>
      <c r="N14" s="135">
        <f>IF(ISNA(VLOOKUP(M14,'Price List'!$B$2:$Y$9827,18,FALSE)),0,VLOOKUP(M14,'Price List'!$B$2:$Y$9827,18,FALSE))</f>
        <v>8000</v>
      </c>
      <c r="O14" s="136">
        <f>IF(N14=0,0,N14*Pricing_Sheet[[#This Row],[QTY]])</f>
        <v>8000</v>
      </c>
      <c r="P14" s="136">
        <f>IF(ISNA(VLOOKUP(M14,'Price List'!$B$2:$Y$9827,19,FALSE)*Pricing_Sheet[[#This Row],[QTY]]+VLOOKUP(M14,'Price List'!$B$2:$Y$9827,20,FALSE)*Pricing_Sheet[[#This Row],[QTY]]),0,VLOOKUP(M14,'Price List'!$B$2:$Y$9827,19,FALSE)*Pricing_Sheet[[#This Row],[QTY]]+VLOOKUP(M14,'Price List'!$B$2:$Y$9827,20,FALSE)*Pricing_Sheet[[#This Row],[QTY]])</f>
        <v>1200</v>
      </c>
      <c r="Q14" s="136">
        <f>IF(ISNA(VLOOKUP(M14,'Price List'!$B$2:$Y$9827,21,FALSE)),0,VLOOKUP(M14,'Price List'!$B$2:$Y$9827,21,FALSE)*Pricing_Sheet[[#This Row],[QTY]])</f>
        <v>3200</v>
      </c>
      <c r="R14" s="136">
        <f>IF(N14=0,0,Pricing_Sheet[[#This Row],[UNIT PRICE ]])</f>
        <v>12400</v>
      </c>
      <c r="S14" s="137">
        <f>IF(R14=0,0,R14*Pricing_Sheet[[#This Row],[QTY]])</f>
        <v>12400</v>
      </c>
      <c r="T14" s="192">
        <f>IF(Pricing_Sheet[[#This Row],[Full Description]]='Price List'!$B$265,Electrical!$AA$27,IF(Pricing_Sheet[[#This Row],[Full Description]]='Price List'!$B$266,ATG!$S$2,IF(ISNA(VLOOKUP(M14,'Price List'!$B$2:$Z$9827,21,FALSE)),0,VLOOKUP(M14,'Price List'!$B$2:$Z$9827,25,FALSE))))</f>
        <v>8</v>
      </c>
      <c r="U14" s="138">
        <f>IFERROR(T14*Pricing_Sheet[[#This Row],[QTY]],0)</f>
        <v>8</v>
      </c>
      <c r="V14" s="139"/>
      <c r="W14" s="139"/>
      <c r="X14" s="140"/>
      <c r="Y14" s="141"/>
      <c r="Z14" s="143"/>
      <c r="AA14" s="140"/>
      <c r="AB14" s="141"/>
      <c r="AC14" s="139"/>
      <c r="AD14" s="142"/>
      <c r="AE14" s="141"/>
      <c r="AF14" s="142"/>
      <c r="AG14" s="303">
        <f>IF(M14='Price List'!$B$269,1,0)</f>
        <v>0</v>
      </c>
      <c r="AH14" s="216"/>
      <c r="AI14" s="216">
        <f>IF(M14='Price List'!$B$268,1,0)</f>
        <v>0</v>
      </c>
      <c r="AJ14" s="216"/>
      <c r="AK14" s="216"/>
      <c r="AL14" s="217"/>
      <c r="AM14" s="145"/>
      <c r="AN14" s="146"/>
      <c r="AO14" s="146"/>
      <c r="AP14" s="147"/>
      <c r="AQ14" s="148"/>
      <c r="AR14" s="149"/>
      <c r="AS14" s="149"/>
      <c r="AT14" s="150"/>
      <c r="AU14" s="151"/>
      <c r="AV14" s="152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</row>
    <row r="15" spans="1:90" s="12" customFormat="1" ht="24" customHeight="1" x14ac:dyDescent="0.25">
      <c r="A15" s="235">
        <v>14</v>
      </c>
      <c r="B15" s="236" t="s">
        <v>43</v>
      </c>
      <c r="C15" s="236" t="s">
        <v>43</v>
      </c>
      <c r="D15" s="235"/>
      <c r="E15" s="235"/>
      <c r="F15" s="235">
        <v>1</v>
      </c>
      <c r="G15" s="237" t="str">
        <f>_xlfn.IFNA(VLOOKUP(Pricing_Sheet[[#This Row],[ITEM]],Data!$A$2:$B$100,2,FALSE),"-")</f>
        <v>Nos</v>
      </c>
      <c r="H15" s="238" t="s">
        <v>39</v>
      </c>
      <c r="I15" s="236"/>
      <c r="J15" s="239">
        <f>_xlfn.IFNA(IF(M15='Price List'!$B$266,$AT$22,IF(M15='Price List'!$B$265,$AP$22,IF(AND(M15='Price List'!$B$267,$L$2=Data!$C$47),'Pricing Sheet'!$AF$22,IF(AND(M15='Price List'!$B$267,$L$2=Data!$C$48),$AE$22,IF(M15='Price List'!$B$269,'Pricing Sheet'!$AH$22,IF(M15='Price List'!$B$268,'Pricing Sheet'!$AJ$22,VLOOKUP(M15,'Price List'!$B$2:$Y$9827,24,FALSE))))))),0)</f>
        <v>1725.15</v>
      </c>
      <c r="K15" s="239">
        <f>Pricing_Sheet[[#This Row],[UNIT PRICE ]]*Pricing_Sheet[[#This Row],[QTY]]</f>
        <v>1725.15</v>
      </c>
      <c r="L15" s="187"/>
      <c r="M15" s="195" t="str">
        <f t="shared" si="0"/>
        <v>Overfill Alarm Unit Overfill Alarm Unit   Al Fanar</v>
      </c>
      <c r="N15" s="135">
        <f>IF(ISNA(VLOOKUP(M15,'Price List'!$B$2:$Y$9827,18,FALSE)),0,VLOOKUP(M15,'Price List'!$B$2:$Y$9827,18,FALSE))</f>
        <v>1113</v>
      </c>
      <c r="O15" s="136">
        <f>IF(N15=0,0,N15*Pricing_Sheet[[#This Row],[QTY]])</f>
        <v>1113</v>
      </c>
      <c r="P15" s="136">
        <f>IF(ISNA(VLOOKUP(M15,'Price List'!$B$2:$Y$9827,19,FALSE)*Pricing_Sheet[[#This Row],[QTY]]+VLOOKUP(M15,'Price List'!$B$2:$Y$9827,20,FALSE)*Pricing_Sheet[[#This Row],[QTY]]),0,VLOOKUP(M15,'Price List'!$B$2:$Y$9827,19,FALSE)*Pricing_Sheet[[#This Row],[QTY]]+VLOOKUP(M15,'Price List'!$B$2:$Y$9827,20,FALSE)*Pricing_Sheet[[#This Row],[QTY]])</f>
        <v>166.95000000000002</v>
      </c>
      <c r="Q15" s="136">
        <f>IF(ISNA(VLOOKUP(M15,'Price List'!$B$2:$Y$9827,21,FALSE)),0,VLOOKUP(M15,'Price List'!$B$2:$Y$9827,21,FALSE)*Pricing_Sheet[[#This Row],[QTY]])</f>
        <v>445.20000000000005</v>
      </c>
      <c r="R15" s="136">
        <f>IF(N15=0,0,Pricing_Sheet[[#This Row],[UNIT PRICE ]])</f>
        <v>1725.15</v>
      </c>
      <c r="S15" s="137">
        <f>IF(R15=0,0,R15*Pricing_Sheet[[#This Row],[QTY]])</f>
        <v>1725.15</v>
      </c>
      <c r="T15" s="192">
        <f>IF(Pricing_Sheet[[#This Row],[Full Description]]='Price List'!$B$265,Electrical!$AA$27,IF(Pricing_Sheet[[#This Row],[Full Description]]='Price List'!$B$266,ATG!$S$2,IF(ISNA(VLOOKUP(M15,'Price List'!$B$2:$Z$9827,21,FALSE)),0,VLOOKUP(M15,'Price List'!$B$2:$Z$9827,25,FALSE))))</f>
        <v>5</v>
      </c>
      <c r="U15" s="138">
        <f>IFERROR(T15*Pricing_Sheet[[#This Row],[QTY]],0)</f>
        <v>5</v>
      </c>
      <c r="V15" s="139"/>
      <c r="W15" s="139"/>
      <c r="X15" s="140"/>
      <c r="Y15" s="141"/>
      <c r="Z15" s="143"/>
      <c r="AA15" s="140"/>
      <c r="AB15" s="141"/>
      <c r="AC15" s="139"/>
      <c r="AD15" s="142"/>
      <c r="AE15" s="141"/>
      <c r="AF15" s="142"/>
      <c r="AG15" s="303">
        <f>IF(M15='Price List'!$B$269,1,0)</f>
        <v>0</v>
      </c>
      <c r="AH15" s="216"/>
      <c r="AI15" s="216">
        <f>IF(M15='Price List'!$B$268,1,0)</f>
        <v>0</v>
      </c>
      <c r="AJ15" s="216"/>
      <c r="AK15" s="216"/>
      <c r="AL15" s="217"/>
      <c r="AM15" s="145"/>
      <c r="AN15" s="146"/>
      <c r="AO15" s="146"/>
      <c r="AP15" s="147"/>
      <c r="AQ15" s="148"/>
      <c r="AR15" s="149"/>
      <c r="AS15" s="149"/>
      <c r="AT15" s="150"/>
      <c r="AU15" s="151"/>
      <c r="AV15" s="152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</row>
    <row r="16" spans="1:90" s="12" customFormat="1" ht="24" customHeight="1" x14ac:dyDescent="0.25">
      <c r="A16" s="235">
        <v>15</v>
      </c>
      <c r="B16" s="236" t="s">
        <v>53</v>
      </c>
      <c r="C16" s="236" t="s">
        <v>141</v>
      </c>
      <c r="D16" s="235"/>
      <c r="E16" s="235" t="s">
        <v>97</v>
      </c>
      <c r="F16" s="235">
        <v>100</v>
      </c>
      <c r="G16" s="237" t="str">
        <f>_xlfn.IFNA(VLOOKUP(Pricing_Sheet[[#This Row],[ITEM]],Data!$A$2:$B$100,2,FALSE),"-")</f>
        <v>LM</v>
      </c>
      <c r="H16" s="238" t="s">
        <v>52</v>
      </c>
      <c r="I16" s="236"/>
      <c r="J16" s="239">
        <f>_xlfn.IFNA(IF(M16='Price List'!$B$266,$AT$22,IF(M16='Price List'!$B$265,$AP$22,IF(AND(M16='Price List'!$B$267,$L$2=Data!$C$47),'Pricing Sheet'!$AF$22,IF(AND(M16='Price List'!$B$267,$L$2=Data!$C$48),$AE$22,IF(M16='Price List'!$B$269,'Pricing Sheet'!$AH$22,IF(M16='Price List'!$B$268,'Pricing Sheet'!$AJ$22,VLOOKUP(M16,'Price List'!$B$2:$Y$9827,24,FALSE))))))),0)</f>
        <v>65.875</v>
      </c>
      <c r="K16" s="239">
        <f>Pricing_Sheet[[#This Row],[UNIT PRICE ]]*Pricing_Sheet[[#This Row],[QTY]]</f>
        <v>6587.5</v>
      </c>
      <c r="L16" s="187"/>
      <c r="M16" s="195" t="str">
        <f t="shared" si="0"/>
        <v>BS Sch.40 Seamless 1 meter BS Sch. 40 Floor Installation Pipe  25 mm NKK</v>
      </c>
      <c r="N16" s="135">
        <f>IF(ISNA(VLOOKUP(M16,'Price List'!$B$2:$Y$9827,18,FALSE)),0,VLOOKUP(M16,'Price List'!$B$2:$Y$9827,18,FALSE))</f>
        <v>42.5</v>
      </c>
      <c r="O16" s="136">
        <f>IF(N16=0,0,N16*Pricing_Sheet[[#This Row],[QTY]])</f>
        <v>4250</v>
      </c>
      <c r="P16" s="136">
        <f>IF(ISNA(VLOOKUP(M16,'Price List'!$B$2:$Y$9827,19,FALSE)*Pricing_Sheet[[#This Row],[QTY]]+VLOOKUP(M16,'Price List'!$B$2:$Y$9827,20,FALSE)*Pricing_Sheet[[#This Row],[QTY]]),0,VLOOKUP(M16,'Price List'!$B$2:$Y$9827,19,FALSE)*Pricing_Sheet[[#This Row],[QTY]]+VLOOKUP(M16,'Price List'!$B$2:$Y$9827,20,FALSE)*Pricing_Sheet[[#This Row],[QTY]])</f>
        <v>637.5</v>
      </c>
      <c r="Q16" s="136">
        <f>IF(ISNA(VLOOKUP(M16,'Price List'!$B$2:$Y$9827,21,FALSE)),0,VLOOKUP(M16,'Price List'!$B$2:$Y$9827,21,FALSE)*Pricing_Sheet[[#This Row],[QTY]])</f>
        <v>1700</v>
      </c>
      <c r="R16" s="136">
        <f>IF(N16=0,0,Pricing_Sheet[[#This Row],[UNIT PRICE ]])</f>
        <v>65.875</v>
      </c>
      <c r="S16" s="137">
        <f>IF(R16=0,0,R16*Pricing_Sheet[[#This Row],[QTY]])</f>
        <v>6587.5</v>
      </c>
      <c r="T16" s="192">
        <f>IF(Pricing_Sheet[[#This Row],[Full Description]]='Price List'!$B$265,Electrical!$AA$27,IF(Pricing_Sheet[[#This Row],[Full Description]]='Price List'!$B$266,ATG!$S$2,IF(ISNA(VLOOKUP(M16,'Price List'!$B$2:$Z$9827,21,FALSE)),0,VLOOKUP(M16,'Price List'!$B$2:$Z$9827,25,FALSE))))</f>
        <v>2</v>
      </c>
      <c r="U16" s="138">
        <f>IFERROR(T16*Pricing_Sheet[[#This Row],[QTY]],0)</f>
        <v>200</v>
      </c>
      <c r="V16" s="139"/>
      <c r="W16" s="139"/>
      <c r="X16" s="140"/>
      <c r="Y16" s="141"/>
      <c r="Z16" s="143"/>
      <c r="AA16" s="140"/>
      <c r="AB16" s="141"/>
      <c r="AC16" s="139"/>
      <c r="AD16" s="142"/>
      <c r="AE16" s="141"/>
      <c r="AF16" s="142"/>
      <c r="AG16" s="303">
        <f>IF(M16='Price List'!$B$269,1,0)</f>
        <v>0</v>
      </c>
      <c r="AH16" s="216"/>
      <c r="AI16" s="216">
        <f>IF(M16='Price List'!$B$268,1,0)</f>
        <v>0</v>
      </c>
      <c r="AJ16" s="216"/>
      <c r="AK16" s="216"/>
      <c r="AL16" s="217"/>
      <c r="AM16" s="145"/>
      <c r="AN16" s="146"/>
      <c r="AO16" s="146"/>
      <c r="AP16" s="147"/>
      <c r="AQ16" s="148"/>
      <c r="AR16" s="149"/>
      <c r="AS16" s="149"/>
      <c r="AT16" s="150"/>
      <c r="AU16" s="151"/>
      <c r="AV16" s="152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</row>
    <row r="17" spans="1:90" s="12" customFormat="1" ht="24" customHeight="1" x14ac:dyDescent="0.25">
      <c r="A17" s="235">
        <v>16</v>
      </c>
      <c r="B17" s="236" t="s">
        <v>53</v>
      </c>
      <c r="C17" s="236" t="s">
        <v>141</v>
      </c>
      <c r="D17" s="235"/>
      <c r="E17" s="235" t="s">
        <v>99</v>
      </c>
      <c r="F17" s="235">
        <v>200</v>
      </c>
      <c r="G17" s="237" t="str">
        <f>_xlfn.IFNA(VLOOKUP(Pricing_Sheet[[#This Row],[ITEM]],Data!$A$2:$B$100,2,FALSE),"-")</f>
        <v>LM</v>
      </c>
      <c r="H17" s="238" t="s">
        <v>52</v>
      </c>
      <c r="I17" s="236"/>
      <c r="J17" s="239">
        <f>_xlfn.IFNA(IF(M17='Price List'!$B$266,$AT$22,IF(M17='Price List'!$B$265,$AP$22,IF(AND(M17='Price List'!$B$267,$L$2=Data!$C$47),'Pricing Sheet'!$AF$22,IF(AND(M17='Price List'!$B$267,$L$2=Data!$C$48),$AE$22,IF(M17='Price List'!$B$269,'Pricing Sheet'!$AH$22,IF(M17='Price List'!$B$268,'Pricing Sheet'!$AJ$22,VLOOKUP(M17,'Price List'!$B$2:$Y$9827,24,FALSE))))))),0)</f>
        <v>142.60000000000002</v>
      </c>
      <c r="K17" s="239">
        <f>Pricing_Sheet[[#This Row],[UNIT PRICE ]]*Pricing_Sheet[[#This Row],[QTY]]</f>
        <v>28520.000000000004</v>
      </c>
      <c r="L17" s="187"/>
      <c r="M17" s="195" t="str">
        <f t="shared" si="0"/>
        <v>BS Sch.40 Seamless 1 meter BS Sch. 40 Floor Installation Pipe  50 mm NKK</v>
      </c>
      <c r="N17" s="135">
        <f>IF(ISNA(VLOOKUP(M17,'Price List'!$B$2:$Y$9827,18,FALSE)),0,VLOOKUP(M17,'Price List'!$B$2:$Y$9827,18,FALSE))</f>
        <v>92</v>
      </c>
      <c r="O17" s="136">
        <f>IF(N17=0,0,N17*Pricing_Sheet[[#This Row],[QTY]])</f>
        <v>18400</v>
      </c>
      <c r="P17" s="136">
        <f>IF(ISNA(VLOOKUP(M17,'Price List'!$B$2:$Y$9827,19,FALSE)*Pricing_Sheet[[#This Row],[QTY]]+VLOOKUP(M17,'Price List'!$B$2:$Y$9827,20,FALSE)*Pricing_Sheet[[#This Row],[QTY]]),0,VLOOKUP(M17,'Price List'!$B$2:$Y$9827,19,FALSE)*Pricing_Sheet[[#This Row],[QTY]]+VLOOKUP(M17,'Price List'!$B$2:$Y$9827,20,FALSE)*Pricing_Sheet[[#This Row],[QTY]])</f>
        <v>2760.0000000000005</v>
      </c>
      <c r="Q17" s="136">
        <f>IF(ISNA(VLOOKUP(M17,'Price List'!$B$2:$Y$9827,21,FALSE)),0,VLOOKUP(M17,'Price List'!$B$2:$Y$9827,21,FALSE)*Pricing_Sheet[[#This Row],[QTY]])</f>
        <v>7360.0000000000009</v>
      </c>
      <c r="R17" s="136">
        <f>IF(N17=0,0,Pricing_Sheet[[#This Row],[UNIT PRICE ]])</f>
        <v>142.60000000000002</v>
      </c>
      <c r="S17" s="137">
        <f>IF(R17=0,0,R17*Pricing_Sheet[[#This Row],[QTY]])</f>
        <v>28520.000000000004</v>
      </c>
      <c r="T17" s="192">
        <f>IF(Pricing_Sheet[[#This Row],[Full Description]]='Price List'!$B$265,Electrical!$AA$27,IF(Pricing_Sheet[[#This Row],[Full Description]]='Price List'!$B$266,ATG!$S$2,IF(ISNA(VLOOKUP(M17,'Price List'!$B$2:$Z$9827,21,FALSE)),0,VLOOKUP(M17,'Price List'!$B$2:$Z$9827,25,FALSE))))</f>
        <v>2.5</v>
      </c>
      <c r="U17" s="138">
        <f>IFERROR(T17*Pricing_Sheet[[#This Row],[QTY]],0)</f>
        <v>500</v>
      </c>
      <c r="V17" s="139"/>
      <c r="W17" s="139"/>
      <c r="X17" s="140"/>
      <c r="Y17" s="141"/>
      <c r="Z17" s="143"/>
      <c r="AA17" s="140"/>
      <c r="AB17" s="141"/>
      <c r="AC17" s="139"/>
      <c r="AD17" s="142"/>
      <c r="AE17" s="141"/>
      <c r="AF17" s="142"/>
      <c r="AG17" s="303">
        <f>IF(M17='Price List'!$B$269,1,0)</f>
        <v>0</v>
      </c>
      <c r="AH17" s="216"/>
      <c r="AI17" s="216">
        <f>IF(M17='Price List'!$B$268,1,0)</f>
        <v>0</v>
      </c>
      <c r="AJ17" s="216"/>
      <c r="AK17" s="216"/>
      <c r="AL17" s="217"/>
      <c r="AM17" s="145"/>
      <c r="AN17" s="146"/>
      <c r="AO17" s="146"/>
      <c r="AP17" s="147"/>
      <c r="AQ17" s="148"/>
      <c r="AR17" s="149"/>
      <c r="AS17" s="149"/>
      <c r="AT17" s="150"/>
      <c r="AU17" s="151"/>
      <c r="AV17" s="152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</row>
    <row r="18" spans="1:90" s="12" customFormat="1" ht="24" customHeight="1" x14ac:dyDescent="0.25">
      <c r="A18" s="235">
        <v>17</v>
      </c>
      <c r="B18" s="236" t="s">
        <v>376</v>
      </c>
      <c r="C18" s="236" t="s">
        <v>376</v>
      </c>
      <c r="D18" s="235"/>
      <c r="E18" s="235"/>
      <c r="F18" s="235">
        <v>1</v>
      </c>
      <c r="G18" s="237" t="str">
        <f>_xlfn.IFNA(VLOOKUP(Pricing_Sheet[[#This Row],[ITEM]],Data!$A$2:$B$100,2,FALSE),"-")</f>
        <v>Lot</v>
      </c>
      <c r="H18" s="238"/>
      <c r="I18" s="236"/>
      <c r="J18" s="239">
        <f>_xlfn.IFNA(IF(M18='Price List'!$B$266,$AT$22,IF(M18='Price List'!$B$265,$AP$22,IF(AND(M18='Price List'!$B$267,$L$2=Data!$C$47),'Pricing Sheet'!$AF$22,IF(AND(M18='Price List'!$B$267,$L$2=Data!$C$48),$AE$22,IF(M18='Price List'!$B$269,'Pricing Sheet'!$AH$22,IF(M18='Price List'!$B$268,'Pricing Sheet'!$AJ$22,VLOOKUP(M18,'Price List'!$B$2:$Y$9827,24,FALSE))))))),0)</f>
        <v>39323.5</v>
      </c>
      <c r="K18" s="239">
        <f>Pricing_Sheet[[#This Row],[UNIT PRICE ]]*Pricing_Sheet[[#This Row],[QTY]]</f>
        <v>39323.5</v>
      </c>
      <c r="L18" s="187"/>
      <c r="M18" s="195" t="str">
        <f t="shared" si="0"/>
        <v xml:space="preserve">Electrical Material Electrical Material   </v>
      </c>
      <c r="N18" s="135">
        <f>IF(ISNA(VLOOKUP(M18,'Price List'!$B$2:$Y$9827,18,FALSE)),0,VLOOKUP(M18,'Price List'!$B$2:$Y$9827,18,FALSE))</f>
        <v>0</v>
      </c>
      <c r="O18" s="136">
        <f>IF(N18=0,0,N18*Pricing_Sheet[[#This Row],[QTY]])</f>
        <v>0</v>
      </c>
      <c r="P18" s="136">
        <f>IF(ISNA(VLOOKUP(M18,'Price List'!$B$2:$Y$9827,19,FALSE)*Pricing_Sheet[[#This Row],[QTY]]+VLOOKUP(M18,'Price List'!$B$2:$Y$9827,20,FALSE)*Pricing_Sheet[[#This Row],[QTY]]),0,VLOOKUP(M18,'Price List'!$B$2:$Y$9827,19,FALSE)*Pricing_Sheet[[#This Row],[QTY]]+VLOOKUP(M18,'Price List'!$B$2:$Y$9827,20,FALSE)*Pricing_Sheet[[#This Row],[QTY]])</f>
        <v>0</v>
      </c>
      <c r="Q18" s="136">
        <f>IF(ISNA(VLOOKUP(M18,'Price List'!$B$2:$Y$9827,21,FALSE)),0,VLOOKUP(M18,'Price List'!$B$2:$Y$9827,21,FALSE)*Pricing_Sheet[[#This Row],[QTY]])</f>
        <v>0</v>
      </c>
      <c r="R18" s="136">
        <f>IF(N18=0,0,Pricing_Sheet[[#This Row],[UNIT PRICE ]])</f>
        <v>0</v>
      </c>
      <c r="S18" s="137">
        <f>IF(R18=0,0,R18*Pricing_Sheet[[#This Row],[QTY]])</f>
        <v>0</v>
      </c>
      <c r="T18" s="192">
        <f>IF(Pricing_Sheet[[#This Row],[Full Description]]='Price List'!$B$265,Electrical!$AA$27,IF(Pricing_Sheet[[#This Row],[Full Description]]='Price List'!$B$266,ATG!$S$2,IF(ISNA(VLOOKUP(M18,'Price List'!$B$2:$Z$9827,21,FALSE)),0,VLOOKUP(M18,'Price List'!$B$2:$Z$9827,25,FALSE))))</f>
        <v>735</v>
      </c>
      <c r="U18" s="138">
        <f>IFERROR(T18*Pricing_Sheet[[#This Row],[QTY]],0)</f>
        <v>735</v>
      </c>
      <c r="V18" s="139"/>
      <c r="W18" s="139"/>
      <c r="X18" s="140"/>
      <c r="Y18" s="141"/>
      <c r="Z18" s="143"/>
      <c r="AA18" s="140"/>
      <c r="AB18" s="141"/>
      <c r="AC18" s="139"/>
      <c r="AD18" s="142"/>
      <c r="AE18" s="141"/>
      <c r="AF18" s="142"/>
      <c r="AG18" s="303">
        <f>IF(M18='Price List'!$B$269,1,0)</f>
        <v>0</v>
      </c>
      <c r="AH18" s="216"/>
      <c r="AI18" s="216">
        <f>IF(M18='Price List'!$B$268,1,0)</f>
        <v>0</v>
      </c>
      <c r="AJ18" s="216"/>
      <c r="AK18" s="216"/>
      <c r="AL18" s="217"/>
      <c r="AM18" s="145"/>
      <c r="AN18" s="146"/>
      <c r="AO18" s="146"/>
      <c r="AP18" s="147"/>
      <c r="AQ18" s="148"/>
      <c r="AR18" s="149"/>
      <c r="AS18" s="149"/>
      <c r="AT18" s="150"/>
      <c r="AU18" s="151"/>
      <c r="AV18" s="152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</row>
    <row r="19" spans="1:90" s="12" customFormat="1" ht="24" customHeight="1" x14ac:dyDescent="0.25">
      <c r="A19" s="235">
        <v>18</v>
      </c>
      <c r="B19" s="407" t="s">
        <v>132</v>
      </c>
      <c r="C19" s="407" t="s">
        <v>132</v>
      </c>
      <c r="D19" s="408"/>
      <c r="E19" s="408"/>
      <c r="F19" s="408">
        <v>1</v>
      </c>
      <c r="G19" s="384" t="str">
        <f>_xlfn.IFNA(VLOOKUP(Pricing_Sheet[[#This Row],[ITEM]],Data!$A$2:$B$100,2,FALSE),"-")</f>
        <v>Lot</v>
      </c>
      <c r="H19" s="238" t="s">
        <v>133</v>
      </c>
      <c r="I19" s="236"/>
      <c r="J19" s="385">
        <f>_xlfn.IFNA(IF(M19='Price List'!$B$266,$AT$22,IF(M19='Price List'!$B$265,$AP$22,IF(AND(M19='Price List'!$B$267,$L$2=Data!$C$47),'Pricing Sheet'!$AF$22,IF(AND(M19='Price List'!$B$267,$L$2=Data!$C$48),$AE$22,IF(M19='Price List'!$B$269,'Pricing Sheet'!$AH$22,IF(M19='Price List'!$B$268,'Pricing Sheet'!$AJ$22,VLOOKUP(M19,'Price List'!$B$2:$Y$9827,24,FALSE))))))),0)</f>
        <v>59786.455462499995</v>
      </c>
      <c r="K19" s="385">
        <f>Pricing_Sheet[[#This Row],[UNIT PRICE ]]*Pricing_Sheet[[#This Row],[QTY]]</f>
        <v>59786.455462499995</v>
      </c>
      <c r="L19" s="187"/>
      <c r="M19" s="386" t="str">
        <f>B19&amp;" "&amp;C19&amp;" "&amp;D19&amp;" "&amp;E19&amp;" "&amp;H19</f>
        <v>ATG System ATG System   Pneumercator</v>
      </c>
      <c r="N19" s="387">
        <f>IF(ISNA(VLOOKUP(M19,'Price List'!$B$2:$Y$9827,18,FALSE)),0,VLOOKUP(M19,'Price List'!$B$2:$Y$9827,18,FALSE))</f>
        <v>0</v>
      </c>
      <c r="O19" s="388">
        <f>IF(N19=0,0,N19*Pricing_Sheet[[#This Row],[QTY]])</f>
        <v>0</v>
      </c>
      <c r="P19" s="388">
        <f>IF(ISNA(VLOOKUP(M19,'Price List'!$B$2:$Y$9827,19,FALSE)*Pricing_Sheet[[#This Row],[QTY]]+VLOOKUP(M19,'Price List'!$B$2:$Y$9827,20,FALSE)*Pricing_Sheet[[#This Row],[QTY]]),0,VLOOKUP(M19,'Price List'!$B$2:$Y$9827,19,FALSE)*Pricing_Sheet[[#This Row],[QTY]]+VLOOKUP(M19,'Price List'!$B$2:$Y$9827,20,FALSE)*Pricing_Sheet[[#This Row],[QTY]])</f>
        <v>0</v>
      </c>
      <c r="Q19" s="388">
        <f>IF(ISNA(VLOOKUP(M19,'Price List'!$B$2:$Y$9827,21,FALSE)),0,VLOOKUP(M19,'Price List'!$B$2:$Y$9827,21,FALSE)*Pricing_Sheet[[#This Row],[QTY]])</f>
        <v>0</v>
      </c>
      <c r="R19" s="388">
        <f>IF(N19=0,0,Pricing_Sheet[[#This Row],[UNIT PRICE ]])</f>
        <v>0</v>
      </c>
      <c r="S19" s="389">
        <f>IF(R19=0,0,R19*Pricing_Sheet[[#This Row],[QTY]])</f>
        <v>0</v>
      </c>
      <c r="T19" s="390">
        <f>IF(Pricing_Sheet[[#This Row],[Full Description]]='Price List'!$B$265,Electrical!$AA$27,IF(Pricing_Sheet[[#This Row],[Full Description]]='Price List'!$B$266,ATG!$S$2,IF(ISNA(VLOOKUP(M19,'Price List'!$B$2:$Z$9827,21,FALSE)),0,VLOOKUP(M19,'Price List'!$B$2:$Z$9827,25,FALSE))))</f>
        <v>60</v>
      </c>
      <c r="U19" s="391">
        <f>IFERROR(T19*Pricing_Sheet[[#This Row],[QTY]],0)</f>
        <v>60</v>
      </c>
      <c r="V19" s="392"/>
      <c r="W19" s="392"/>
      <c r="X19" s="393"/>
      <c r="Y19" s="394"/>
      <c r="Z19" s="395"/>
      <c r="AA19" s="393"/>
      <c r="AB19" s="394"/>
      <c r="AC19" s="392"/>
      <c r="AD19" s="396"/>
      <c r="AE19" s="394"/>
      <c r="AF19" s="396"/>
      <c r="AG19" s="397">
        <f>IF(M19='Price List'!$B$269,1,0)</f>
        <v>0</v>
      </c>
      <c r="AH19" s="397"/>
      <c r="AI19" s="397">
        <f>IF(M19='Price List'!$B$268,1,0)</f>
        <v>0</v>
      </c>
      <c r="AJ19" s="397"/>
      <c r="AK19" s="397"/>
      <c r="AL19" s="398"/>
      <c r="AM19" s="399"/>
      <c r="AN19" s="400"/>
      <c r="AO19" s="400"/>
      <c r="AP19" s="401"/>
      <c r="AQ19" s="402"/>
      <c r="AR19" s="403"/>
      <c r="AS19" s="403"/>
      <c r="AT19" s="404"/>
      <c r="AU19" s="405"/>
      <c r="AV19" s="406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</row>
    <row r="20" spans="1:90" s="12" customFormat="1" ht="24" customHeight="1" thickBot="1" x14ac:dyDescent="0.3">
      <c r="A20" s="235">
        <v>19</v>
      </c>
      <c r="B20" s="236" t="s">
        <v>138</v>
      </c>
      <c r="C20" s="236" t="s">
        <v>138</v>
      </c>
      <c r="D20" s="235"/>
      <c r="E20" s="235"/>
      <c r="F20" s="235">
        <v>1</v>
      </c>
      <c r="G20" s="237" t="str">
        <f>_xlfn.IFNA(VLOOKUP(Pricing_Sheet[[#This Row],[ITEM]],Data!$A$2:$B$100,2,FALSE),"-")</f>
        <v>Lot</v>
      </c>
      <c r="H20" s="238"/>
      <c r="I20" s="236"/>
      <c r="J20" s="239">
        <f>_xlfn.IFNA(IF(M20='Price List'!$B$266,$AT$22,IF(M20='Price List'!$B$265,$AP$22,IF(AND(M20='Price List'!$B$267,$L$2=Data!$C$47),'Pricing Sheet'!$AF$22,IF(AND(M20='Price List'!$B$267,$L$2=Data!$C$48),$AE$22,IF(M20='Price List'!$B$269,'Pricing Sheet'!$AH$22,IF(M20='Price List'!$B$268,'Pricing Sheet'!$AJ$22,VLOOKUP(M20,'Price List'!$B$2:$Y$9827,24,FALSE))))))),0)</f>
        <v>139521.796875</v>
      </c>
      <c r="K20" s="239">
        <f>Pricing_Sheet[[#This Row],[UNIT PRICE ]]*Pricing_Sheet[[#This Row],[QTY]]</f>
        <v>139521.796875</v>
      </c>
      <c r="L20" s="187"/>
      <c r="M20" s="195" t="str">
        <f t="shared" si="0"/>
        <v xml:space="preserve">Installation, T&amp;C Installation, T&amp;C   </v>
      </c>
      <c r="N20" s="135">
        <f>IF(ISNA(VLOOKUP(M20,'Price List'!$B$2:$Y$9827,18,FALSE)),0,VLOOKUP(M20,'Price List'!$B$2:$Y$9827,18,FALSE))</f>
        <v>0</v>
      </c>
      <c r="O20" s="136">
        <f>IF(N20=0,0,N20*Pricing_Sheet[[#This Row],[QTY]])</f>
        <v>0</v>
      </c>
      <c r="P20" s="136">
        <f>IF(ISNA(VLOOKUP(M20,'Price List'!$B$2:$Y$9827,19,FALSE)*Pricing_Sheet[[#This Row],[QTY]]+VLOOKUP(M20,'Price List'!$B$2:$Y$9827,20,FALSE)*Pricing_Sheet[[#This Row],[QTY]]),0,VLOOKUP(M20,'Price List'!$B$2:$Y$9827,19,FALSE)*Pricing_Sheet[[#This Row],[QTY]]+VLOOKUP(M20,'Price List'!$B$2:$Y$9827,20,FALSE)*Pricing_Sheet[[#This Row],[QTY]])</f>
        <v>0</v>
      </c>
      <c r="Q20" s="136">
        <f>IF(ISNA(VLOOKUP(M20,'Price List'!$B$2:$Y$9827,21,FALSE)),0,VLOOKUP(M20,'Price List'!$B$2:$Y$9827,21,FALSE)*Pricing_Sheet[[#This Row],[QTY]])</f>
        <v>0</v>
      </c>
      <c r="R20" s="136">
        <f>IF(N20=0,0,Pricing_Sheet[[#This Row],[UNIT PRICE ]])</f>
        <v>0</v>
      </c>
      <c r="S20" s="137">
        <f>IF(R20=0,0,R20*Pricing_Sheet[[#This Row],[QTY]])</f>
        <v>0</v>
      </c>
      <c r="T20" s="192">
        <f>IF(Pricing_Sheet[[#This Row],[Full Description]]='Price List'!$B$265,Electrical!$AA$27,IF(Pricing_Sheet[[#This Row],[Full Description]]='Price List'!$B$266,ATG!$S$2,IF(ISNA(VLOOKUP(M20,'Price List'!$B$2:$Z$9827,21,FALSE)),0,VLOOKUP(M20,'Price List'!$B$2:$Z$9827,25,FALSE))))</f>
        <v>0</v>
      </c>
      <c r="U20" s="138">
        <f>IFERROR(T20*Pricing_Sheet[[#This Row],[QTY]],0)</f>
        <v>0</v>
      </c>
      <c r="V20" s="139"/>
      <c r="W20" s="139"/>
      <c r="X20" s="140"/>
      <c r="Y20" s="141"/>
      <c r="Z20" s="143"/>
      <c r="AA20" s="140"/>
      <c r="AB20" s="298"/>
      <c r="AC20" s="299"/>
      <c r="AD20" s="300"/>
      <c r="AE20" s="298"/>
      <c r="AF20" s="300"/>
      <c r="AG20" s="303">
        <f>IF(M20='Price List'!$B$269,1,0)</f>
        <v>0</v>
      </c>
      <c r="AH20" s="216"/>
      <c r="AI20" s="216">
        <f>IF(M20='Price List'!$B$268,1,0)</f>
        <v>0</v>
      </c>
      <c r="AJ20" s="216"/>
      <c r="AK20" s="216"/>
      <c r="AL20" s="217"/>
      <c r="AM20" s="145"/>
      <c r="AN20" s="146"/>
      <c r="AO20" s="146"/>
      <c r="AP20" s="147"/>
      <c r="AQ20" s="148"/>
      <c r="AR20" s="149"/>
      <c r="AS20" s="149"/>
      <c r="AT20" s="150"/>
      <c r="AU20" s="151"/>
      <c r="AV20" s="152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</row>
    <row r="21" spans="1:90" s="12" customFormat="1" ht="24.75" customHeight="1" thickBot="1" x14ac:dyDescent="0.3">
      <c r="A21" s="240"/>
      <c r="B21" s="240"/>
      <c r="C21" s="241" t="s">
        <v>134</v>
      </c>
      <c r="D21" s="240"/>
      <c r="E21" s="240"/>
      <c r="F21" s="240"/>
      <c r="G21" s="240"/>
      <c r="H21" s="241"/>
      <c r="I21" s="251"/>
      <c r="J21" s="240"/>
      <c r="K21" s="242">
        <f>SUBTOTAL(109,Pricing_Sheet[[TOTAL PRICE ]])</f>
        <v>542663.81601250009</v>
      </c>
      <c r="L21" s="205"/>
      <c r="M21" s="201"/>
      <c r="N21" s="202"/>
      <c r="O21" s="203"/>
      <c r="P21" s="203"/>
      <c r="Q21" s="204"/>
      <c r="R21" s="204"/>
      <c r="S21" s="204"/>
      <c r="T21" s="206"/>
      <c r="U21" s="121" t="s">
        <v>312</v>
      </c>
      <c r="V21" s="121" t="s">
        <v>509</v>
      </c>
      <c r="W21" s="121" t="s">
        <v>493</v>
      </c>
      <c r="X21" s="122" t="s">
        <v>510</v>
      </c>
      <c r="Y21" s="120" t="s">
        <v>507</v>
      </c>
      <c r="Z21" s="124" t="s">
        <v>911</v>
      </c>
      <c r="AA21" s="123" t="s">
        <v>494</v>
      </c>
      <c r="AB21" s="120" t="s">
        <v>495</v>
      </c>
      <c r="AC21" s="121" t="s">
        <v>674</v>
      </c>
      <c r="AD21" s="123" t="s">
        <v>496</v>
      </c>
      <c r="AE21" s="120" t="s">
        <v>497</v>
      </c>
      <c r="AF21" s="123" t="s">
        <v>498</v>
      </c>
      <c r="AG21" s="301" t="s">
        <v>499</v>
      </c>
      <c r="AH21" s="125" t="s">
        <v>500</v>
      </c>
      <c r="AI21" s="125" t="s">
        <v>501</v>
      </c>
      <c r="AJ21" s="125" t="s">
        <v>502</v>
      </c>
      <c r="AK21" s="125" t="s">
        <v>379</v>
      </c>
      <c r="AL21" s="126" t="s">
        <v>380</v>
      </c>
      <c r="AM21" s="127" t="s">
        <v>449</v>
      </c>
      <c r="AN21" s="128" t="s">
        <v>503</v>
      </c>
      <c r="AO21" s="128" t="s">
        <v>450</v>
      </c>
      <c r="AP21" s="129" t="s">
        <v>311</v>
      </c>
      <c r="AQ21" s="130" t="s">
        <v>482</v>
      </c>
      <c r="AR21" s="131" t="s">
        <v>504</v>
      </c>
      <c r="AS21" s="131" t="s">
        <v>483</v>
      </c>
      <c r="AT21" s="132" t="s">
        <v>484</v>
      </c>
      <c r="AU21" s="133" t="s">
        <v>505</v>
      </c>
      <c r="AV21" s="134" t="s">
        <v>382</v>
      </c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</row>
    <row r="22" spans="1:90" ht="24.75" customHeight="1" thickBot="1" x14ac:dyDescent="0.3">
      <c r="A22" s="240"/>
      <c r="B22" s="240"/>
      <c r="C22" s="241" t="s">
        <v>798</v>
      </c>
      <c r="D22" s="258">
        <v>0</v>
      </c>
      <c r="E22" s="240"/>
      <c r="F22" s="240"/>
      <c r="G22" s="240"/>
      <c r="H22" s="241"/>
      <c r="I22" s="251"/>
      <c r="J22" s="240"/>
      <c r="K22" s="242">
        <f>Pricing_Sheet[[#Totals],[TOTAL PRICE ]]*D22</f>
        <v>0</v>
      </c>
      <c r="L22" s="188"/>
      <c r="M22" s="154" t="s">
        <v>310</v>
      </c>
      <c r="N22" s="155"/>
      <c r="O22" s="214">
        <f>SUM(O2:O20)</f>
        <v>196149.71849999999</v>
      </c>
      <c r="P22" s="214">
        <f>SUM(P2:P20)</f>
        <v>29422.457775000003</v>
      </c>
      <c r="Q22" s="214">
        <f>SUM(Q2:Q20)</f>
        <v>78459.887400000007</v>
      </c>
      <c r="R22" s="156"/>
      <c r="S22" s="214">
        <f>SUM(S2:S20)</f>
        <v>304032.06367500004</v>
      </c>
      <c r="T22" s="190"/>
      <c r="U22" s="215">
        <f>SUM(Pricing_Sheet[Total Manhour])</f>
        <v>1557</v>
      </c>
      <c r="V22" s="157">
        <f>AF34*X22</f>
        <v>90014.0625</v>
      </c>
      <c r="W22" s="157">
        <f>AF49*X22</f>
        <v>69517.6171875</v>
      </c>
      <c r="X22" s="158">
        <f>U22/X27/8/6*1.2</f>
        <v>4.8656249999999996</v>
      </c>
      <c r="Y22" s="159">
        <f>V22</f>
        <v>90014.0625</v>
      </c>
      <c r="Z22" s="160">
        <f>0.15*Y22</f>
        <v>13502.109375</v>
      </c>
      <c r="AA22" s="161">
        <f>0.4*Y22</f>
        <v>36005.625</v>
      </c>
      <c r="AB22" s="159">
        <f>W22</f>
        <v>69517.6171875</v>
      </c>
      <c r="AC22" s="162">
        <f>0.15*AB22</f>
        <v>10427.642578125</v>
      </c>
      <c r="AD22" s="161">
        <f>0.4*AB22</f>
        <v>27807.046875</v>
      </c>
      <c r="AE22" s="305">
        <f>SUM(Y22:AA22)</f>
        <v>139521.796875</v>
      </c>
      <c r="AF22" s="306">
        <f>SUM(AB22:AD22)</f>
        <v>107752.306640625</v>
      </c>
      <c r="AG22" s="304"/>
      <c r="AH22" s="165">
        <f>AG22*1.5</f>
        <v>0</v>
      </c>
      <c r="AI22" s="165">
        <v>0</v>
      </c>
      <c r="AJ22" s="165">
        <f>AI22*1.5</f>
        <v>0</v>
      </c>
      <c r="AK22" s="165">
        <f>SUM(AG22+AI22)</f>
        <v>0</v>
      </c>
      <c r="AL22" s="166">
        <f>SUM(AH22+AJ22)</f>
        <v>0</v>
      </c>
      <c r="AM22" s="167">
        <f>Electrical!Z27</f>
        <v>25370</v>
      </c>
      <c r="AN22" s="168">
        <f>0.15*AM22</f>
        <v>3805.5</v>
      </c>
      <c r="AO22" s="168">
        <f>0.4*AM22</f>
        <v>10148</v>
      </c>
      <c r="AP22" s="169">
        <f>SUM(AM22:AO22)</f>
        <v>39323.5</v>
      </c>
      <c r="AQ22" s="170">
        <f>ATG!$N$39</f>
        <v>38571.906750000002</v>
      </c>
      <c r="AR22" s="171">
        <f>0.15*AQ22</f>
        <v>5785.7860124999997</v>
      </c>
      <c r="AS22" s="171">
        <f>0.4*AQ22</f>
        <v>15428.762700000001</v>
      </c>
      <c r="AT22" s="172">
        <f>ATG!$R$2</f>
        <v>59786.455462499995</v>
      </c>
      <c r="AU22" s="173">
        <f>IF(L2="Remote Area",O22+P22+Y22+Z22+AK22+AM22+AN22+AQ22+AR22,O22+P22+AB22+AC22+AK22+AM22+AN22+AQ22+AR22)</f>
        <v>402621.5409125</v>
      </c>
      <c r="AV22" s="174">
        <f>IF(L2="Remote Area",S22+AE22+AL22+AP22+AT22,S22+AF22+AL22+AP22+AT22)</f>
        <v>542663.81601250009</v>
      </c>
    </row>
    <row r="23" spans="1:90" ht="24.75" customHeight="1" thickBot="1" x14ac:dyDescent="0.3">
      <c r="A23" s="240"/>
      <c r="B23" s="240"/>
      <c r="C23" s="241" t="s">
        <v>799</v>
      </c>
      <c r="D23" s="258"/>
      <c r="E23" s="240"/>
      <c r="F23" s="240"/>
      <c r="G23" s="240"/>
      <c r="H23" s="241"/>
      <c r="I23" s="251"/>
      <c r="J23" s="240"/>
      <c r="K23" s="242">
        <f>Pricing_Sheet[[#Totals],[TOTAL PRICE ]]-K22</f>
        <v>542663.81601250009</v>
      </c>
      <c r="L23" s="188"/>
      <c r="M23" s="154"/>
      <c r="N23" s="155"/>
      <c r="O23" s="214"/>
      <c r="P23" s="214"/>
      <c r="Q23" s="214"/>
      <c r="R23" s="156"/>
      <c r="S23" s="214"/>
      <c r="T23" s="190"/>
      <c r="U23" s="215"/>
      <c r="V23" s="157"/>
      <c r="W23" s="157"/>
      <c r="X23" s="158"/>
      <c r="Y23" s="159"/>
      <c r="Z23" s="160"/>
      <c r="AA23" s="161"/>
      <c r="AB23" s="159"/>
      <c r="AC23" s="162"/>
      <c r="AD23" s="161"/>
      <c r="AE23" s="163"/>
      <c r="AF23" s="164"/>
      <c r="AG23" s="165"/>
      <c r="AH23" s="165"/>
      <c r="AI23" s="165"/>
      <c r="AJ23" s="165"/>
      <c r="AK23" s="165"/>
      <c r="AL23" s="166"/>
      <c r="AM23" s="167"/>
      <c r="AN23" s="168"/>
      <c r="AO23" s="168"/>
      <c r="AP23" s="169"/>
      <c r="AQ23" s="170"/>
      <c r="AR23" s="171"/>
      <c r="AS23" s="171"/>
      <c r="AT23" s="172"/>
      <c r="AU23" s="173"/>
      <c r="AV23" s="174"/>
    </row>
    <row r="24" spans="1:90" ht="24.75" customHeight="1" thickBot="1" x14ac:dyDescent="0.3">
      <c r="A24" s="240"/>
      <c r="B24" s="240"/>
      <c r="C24" s="241" t="s">
        <v>862</v>
      </c>
      <c r="D24" s="258"/>
      <c r="E24" s="240"/>
      <c r="F24" s="240"/>
      <c r="G24" s="240"/>
      <c r="H24" s="241"/>
      <c r="I24" s="251"/>
      <c r="J24" s="240"/>
      <c r="K24" s="242">
        <f>K23*0.15</f>
        <v>81399.572401875004</v>
      </c>
      <c r="L24" s="188"/>
      <c r="M24" s="154"/>
      <c r="N24" s="155"/>
      <c r="O24" s="214"/>
      <c r="P24" s="214"/>
      <c r="Q24" s="214"/>
      <c r="R24" s="156"/>
      <c r="S24" s="214"/>
      <c r="T24" s="190"/>
      <c r="U24" s="215"/>
      <c r="V24" s="157"/>
      <c r="W24" s="157"/>
      <c r="X24" s="158"/>
      <c r="Y24" s="159"/>
      <c r="Z24" s="160"/>
      <c r="AA24" s="161"/>
      <c r="AB24" s="159"/>
      <c r="AC24" s="162"/>
      <c r="AD24" s="161"/>
      <c r="AE24" s="163"/>
      <c r="AF24" s="164"/>
      <c r="AG24" s="165"/>
      <c r="AH24" s="165"/>
      <c r="AI24" s="165"/>
      <c r="AJ24" s="165"/>
      <c r="AK24" s="165"/>
      <c r="AL24" s="166"/>
      <c r="AM24" s="167"/>
      <c r="AN24" s="168"/>
      <c r="AO24" s="168"/>
      <c r="AP24" s="169"/>
      <c r="AQ24" s="170"/>
      <c r="AR24" s="171"/>
      <c r="AS24" s="171"/>
      <c r="AT24" s="172"/>
      <c r="AU24" s="173"/>
      <c r="AV24" s="174"/>
    </row>
    <row r="25" spans="1:90" ht="24.75" customHeight="1" thickBot="1" x14ac:dyDescent="0.3">
      <c r="A25" s="240"/>
      <c r="B25" s="240"/>
      <c r="C25" s="241" t="s">
        <v>863</v>
      </c>
      <c r="D25" s="240"/>
      <c r="E25" s="240"/>
      <c r="F25" s="240"/>
      <c r="G25" s="240"/>
      <c r="H25" s="241"/>
      <c r="I25" s="251"/>
      <c r="J25" s="240"/>
      <c r="K25" s="242">
        <f>K24+K23</f>
        <v>624063.38841437513</v>
      </c>
      <c r="L25" s="188"/>
      <c r="M25" s="154"/>
      <c r="N25" s="155"/>
      <c r="O25" s="214"/>
      <c r="P25" s="214"/>
      <c r="Q25" s="214"/>
      <c r="R25" s="156"/>
      <c r="S25" s="214"/>
      <c r="T25" s="190"/>
      <c r="U25" s="215"/>
      <c r="V25" s="157"/>
      <c r="W25" s="157"/>
      <c r="X25" s="158"/>
      <c r="Y25" s="159"/>
      <c r="Z25" s="160"/>
      <c r="AA25" s="161"/>
      <c r="AB25" s="159"/>
      <c r="AC25" s="162"/>
      <c r="AD25" s="161"/>
      <c r="AE25" s="163"/>
      <c r="AF25" s="164"/>
      <c r="AG25" s="165"/>
      <c r="AH25" s="165"/>
      <c r="AI25" s="165"/>
      <c r="AJ25" s="165"/>
      <c r="AK25" s="165"/>
      <c r="AL25" s="166"/>
      <c r="AM25" s="167"/>
      <c r="AN25" s="168"/>
      <c r="AO25" s="168"/>
      <c r="AP25" s="169"/>
      <c r="AQ25" s="170"/>
      <c r="AR25" s="171"/>
      <c r="AS25" s="171"/>
      <c r="AT25" s="172"/>
      <c r="AU25" s="173"/>
      <c r="AV25" s="174"/>
    </row>
    <row r="26" spans="1:90" x14ac:dyDescent="0.25">
      <c r="A26" s="197"/>
      <c r="B26" s="185"/>
      <c r="C26" s="185"/>
      <c r="D26" s="185"/>
      <c r="E26" s="185"/>
      <c r="F26" s="185"/>
      <c r="G26"/>
      <c r="H26" s="185"/>
      <c r="I26" s="252"/>
      <c r="J26"/>
      <c r="K26"/>
      <c r="L26" s="185"/>
      <c r="M26"/>
      <c r="N26"/>
      <c r="O26"/>
      <c r="P26"/>
      <c r="Q26"/>
      <c r="R26"/>
      <c r="S26"/>
      <c r="T26" s="185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90" s="42" customFormat="1" ht="20.25" customHeight="1" x14ac:dyDescent="0.25">
      <c r="A27" s="184"/>
      <c r="B27" s="200"/>
      <c r="C27" s="200"/>
      <c r="D27" s="200"/>
      <c r="E27" s="200"/>
      <c r="F27" s="200"/>
      <c r="H27" s="200"/>
      <c r="I27" s="253"/>
      <c r="L27" s="200"/>
      <c r="T27" s="200"/>
      <c r="W27" s="267" t="s">
        <v>828</v>
      </c>
      <c r="X27" s="267">
        <v>8</v>
      </c>
      <c r="Y27" s="344" t="s">
        <v>913</v>
      </c>
      <c r="Z27" s="344"/>
      <c r="AA27" s="344"/>
      <c r="AB27" s="344"/>
      <c r="AC27" s="344"/>
      <c r="AD27" s="344"/>
      <c r="AE27" s="344"/>
      <c r="AF27" s="344"/>
      <c r="AH27" s="345" t="s">
        <v>792</v>
      </c>
      <c r="AI27" s="345"/>
      <c r="AJ27" s="345"/>
    </row>
    <row r="28" spans="1:90" s="42" customFormat="1" ht="20.25" customHeight="1" x14ac:dyDescent="0.25">
      <c r="A28" s="184"/>
      <c r="B28" s="200"/>
      <c r="C28" s="200"/>
      <c r="D28" s="200"/>
      <c r="E28" s="200"/>
      <c r="F28" s="200"/>
      <c r="H28" s="200"/>
      <c r="I28" s="253"/>
      <c r="L28" s="200"/>
      <c r="T28" s="200"/>
      <c r="Y28" s="2" t="s">
        <v>557</v>
      </c>
      <c r="Z28" s="2" t="s">
        <v>556</v>
      </c>
      <c r="AA28" s="2" t="s">
        <v>553</v>
      </c>
      <c r="AB28" s="2" t="s">
        <v>554</v>
      </c>
      <c r="AC28" s="2" t="s">
        <v>558</v>
      </c>
      <c r="AD28" s="2" t="s">
        <v>555</v>
      </c>
      <c r="AE28" s="2" t="s">
        <v>660</v>
      </c>
      <c r="AF28" s="266"/>
      <c r="AG28" s="257"/>
      <c r="AH28" s="1" t="s">
        <v>793</v>
      </c>
      <c r="AI28" s="1" t="s">
        <v>430</v>
      </c>
      <c r="AJ28" s="1" t="s">
        <v>794</v>
      </c>
    </row>
    <row r="29" spans="1:90" s="42" customFormat="1" ht="20.25" customHeight="1" x14ac:dyDescent="0.25">
      <c r="A29" s="184"/>
      <c r="B29" s="200"/>
      <c r="C29" s="200"/>
      <c r="D29" s="200"/>
      <c r="E29" s="200"/>
      <c r="F29" s="200"/>
      <c r="H29" s="200"/>
      <c r="I29" s="253"/>
      <c r="J29" s="260"/>
      <c r="L29" s="200"/>
      <c r="T29" s="200"/>
      <c r="W29" s="267" t="s">
        <v>828</v>
      </c>
      <c r="X29" s="267">
        <f>X27</f>
        <v>8</v>
      </c>
      <c r="Y29" s="2" t="s">
        <v>829</v>
      </c>
      <c r="Z29" s="2">
        <f>2500*X29</f>
        <v>20000</v>
      </c>
      <c r="AA29" s="2">
        <f>1000*X29</f>
        <v>8000</v>
      </c>
      <c r="AB29" s="2">
        <f>1000*X29</f>
        <v>8000</v>
      </c>
      <c r="AC29" s="2">
        <f>750*X29</f>
        <v>6000</v>
      </c>
      <c r="AD29" s="2">
        <f>600*X29</f>
        <v>4800</v>
      </c>
      <c r="AE29" s="2"/>
      <c r="AH29" s="1" t="s">
        <v>795</v>
      </c>
      <c r="AI29" s="1" t="s">
        <v>662</v>
      </c>
      <c r="AJ29" s="1">
        <v>2000</v>
      </c>
    </row>
    <row r="30" spans="1:90" s="42" customFormat="1" ht="20.25" customHeight="1" x14ac:dyDescent="0.25">
      <c r="A30" s="184"/>
      <c r="B30" s="200"/>
      <c r="C30" s="200"/>
      <c r="D30" s="200"/>
      <c r="E30" s="200"/>
      <c r="F30" s="200"/>
      <c r="H30" s="200"/>
      <c r="I30" s="253"/>
      <c r="J30" s="259"/>
      <c r="L30" s="200"/>
      <c r="T30" s="200"/>
      <c r="W30" s="267" t="s">
        <v>830</v>
      </c>
      <c r="X30" s="267">
        <v>1</v>
      </c>
      <c r="Y30" s="2" t="s">
        <v>832</v>
      </c>
      <c r="Z30" s="2">
        <f>13000*X30</f>
        <v>13000</v>
      </c>
      <c r="AA30" s="2">
        <f>1000*X30</f>
        <v>1000</v>
      </c>
      <c r="AB30" s="2"/>
      <c r="AC30" s="2">
        <v>0</v>
      </c>
      <c r="AD30" s="2">
        <f>600*X30</f>
        <v>600</v>
      </c>
      <c r="AE30" s="2"/>
      <c r="AH30" s="1" t="s">
        <v>796</v>
      </c>
      <c r="AI30" s="1" t="s">
        <v>662</v>
      </c>
      <c r="AJ30" s="1">
        <v>6000</v>
      </c>
    </row>
    <row r="31" spans="1:90" s="42" customFormat="1" ht="20.25" customHeight="1" x14ac:dyDescent="0.25">
      <c r="A31" s="184"/>
      <c r="B31" s="200"/>
      <c r="C31" s="200"/>
      <c r="D31" s="200"/>
      <c r="E31" s="200"/>
      <c r="F31" s="200"/>
      <c r="H31" s="200"/>
      <c r="I31" s="253"/>
      <c r="K31" s="260"/>
      <c r="L31" s="200"/>
      <c r="T31" s="200"/>
      <c r="W31" s="267" t="s">
        <v>831</v>
      </c>
      <c r="X31" s="267">
        <v>1</v>
      </c>
      <c r="Y31" s="2" t="s">
        <v>833</v>
      </c>
      <c r="Z31" s="2">
        <f>7000*X31</f>
        <v>7000</v>
      </c>
      <c r="AA31" s="2">
        <f>1000*X31</f>
        <v>1000</v>
      </c>
      <c r="AB31" s="2"/>
      <c r="AC31" s="2">
        <v>0</v>
      </c>
      <c r="AD31" s="2">
        <f>600*X31</f>
        <v>600</v>
      </c>
      <c r="AE31" s="2"/>
      <c r="AF31" s="10" t="s">
        <v>559</v>
      </c>
      <c r="AH31" s="1" t="s">
        <v>795</v>
      </c>
      <c r="AI31" s="1" t="s">
        <v>797</v>
      </c>
      <c r="AJ31" s="1">
        <v>3500</v>
      </c>
    </row>
    <row r="32" spans="1:90" s="42" customFormat="1" ht="20.25" customHeight="1" x14ac:dyDescent="0.25">
      <c r="A32" s="184"/>
      <c r="B32" s="200"/>
      <c r="C32" s="200"/>
      <c r="D32" s="200"/>
      <c r="E32" s="200"/>
      <c r="F32" s="200"/>
      <c r="H32" s="200"/>
      <c r="I32" s="253"/>
      <c r="K32" s="259"/>
      <c r="L32" s="200"/>
      <c r="T32" s="200"/>
      <c r="Y32" s="344" t="s">
        <v>310</v>
      </c>
      <c r="Z32" s="10">
        <f>SUM(Z29:Z31)</f>
        <v>40000</v>
      </c>
      <c r="AA32" s="10">
        <f>SUM(AA29:AA31)</f>
        <v>10000</v>
      </c>
      <c r="AB32" s="10">
        <f>SUM(AB29:AB31)</f>
        <v>8000</v>
      </c>
      <c r="AC32" s="10">
        <f>SUM(AC29:AC31)</f>
        <v>6000</v>
      </c>
      <c r="AD32" s="10">
        <f>SUM(AD29:AD31)</f>
        <v>6000</v>
      </c>
      <c r="AE32" s="10">
        <v>4000</v>
      </c>
      <c r="AF32" s="35">
        <f>SUM(Z32:AE32)</f>
        <v>74000</v>
      </c>
      <c r="AH32" s="1" t="s">
        <v>796</v>
      </c>
      <c r="AI32" s="1" t="s">
        <v>797</v>
      </c>
      <c r="AJ32" s="1">
        <v>10000</v>
      </c>
    </row>
    <row r="33" spans="1:48" s="42" customFormat="1" ht="20.25" customHeight="1" x14ac:dyDescent="0.25">
      <c r="A33" s="184"/>
      <c r="B33" s="200"/>
      <c r="C33" s="200"/>
      <c r="D33" s="200"/>
      <c r="E33" s="200"/>
      <c r="F33" s="200"/>
      <c r="H33" s="200"/>
      <c r="I33" s="253"/>
      <c r="L33" s="200"/>
      <c r="S33" s="42">
        <f>8*8*6</f>
        <v>384</v>
      </c>
      <c r="T33" s="200"/>
      <c r="Y33" s="344"/>
      <c r="Z33" s="266"/>
      <c r="AA33" s="266"/>
      <c r="AB33" s="266"/>
      <c r="AC33" s="266"/>
      <c r="AD33" s="266"/>
      <c r="AE33" s="266"/>
      <c r="AF33" s="10" t="s">
        <v>560</v>
      </c>
    </row>
    <row r="34" spans="1:48" s="42" customFormat="1" ht="20.25" customHeight="1" x14ac:dyDescent="0.25">
      <c r="A34" s="184"/>
      <c r="B34" s="200"/>
      <c r="C34" s="200"/>
      <c r="D34" s="200"/>
      <c r="E34" s="200"/>
      <c r="F34" s="200"/>
      <c r="H34" s="200"/>
      <c r="I34" s="253"/>
      <c r="L34" s="200"/>
      <c r="T34" s="200"/>
      <c r="Y34" s="344"/>
      <c r="Z34" s="266"/>
      <c r="AA34" s="266"/>
      <c r="AB34" s="266"/>
      <c r="AC34" s="266"/>
      <c r="AD34" s="266"/>
      <c r="AE34" s="266"/>
      <c r="AF34" s="35">
        <f>AF32/4</f>
        <v>18500</v>
      </c>
    </row>
    <row r="35" spans="1:48" s="42" customFormat="1" ht="20.25" customHeight="1" x14ac:dyDescent="0.25">
      <c r="A35" s="184"/>
      <c r="B35" s="200"/>
      <c r="C35" s="200"/>
      <c r="D35" s="200"/>
      <c r="E35" s="200"/>
      <c r="F35" s="200"/>
      <c r="H35" s="200"/>
      <c r="I35" s="268"/>
      <c r="L35" s="200"/>
      <c r="T35" s="200"/>
      <c r="Y35" s="344"/>
      <c r="Z35" s="266"/>
      <c r="AA35" s="266"/>
      <c r="AB35" s="266"/>
      <c r="AC35" s="266"/>
      <c r="AD35" s="266"/>
      <c r="AE35" s="266"/>
      <c r="AF35" s="10" t="s">
        <v>826</v>
      </c>
    </row>
    <row r="36" spans="1:48" s="42" customFormat="1" ht="20.25" customHeight="1" x14ac:dyDescent="0.25">
      <c r="A36" s="184"/>
      <c r="B36" s="200"/>
      <c r="C36" s="200"/>
      <c r="D36" s="200"/>
      <c r="E36" s="200"/>
      <c r="F36" s="200"/>
      <c r="H36" s="200"/>
      <c r="I36" s="268"/>
      <c r="L36" s="200"/>
      <c r="T36" s="200"/>
      <c r="Y36" s="344"/>
      <c r="Z36" s="266"/>
      <c r="AA36" s="266"/>
      <c r="AB36" s="266"/>
      <c r="AC36" s="266"/>
      <c r="AD36" s="266"/>
      <c r="AE36" s="266"/>
      <c r="AF36" s="35">
        <f>AF34/6</f>
        <v>3083.3333333333335</v>
      </c>
    </row>
    <row r="37" spans="1:48" s="42" customFormat="1" ht="20.25" customHeight="1" x14ac:dyDescent="0.25">
      <c r="A37" s="184"/>
      <c r="B37" s="200"/>
      <c r="C37" s="200"/>
      <c r="D37" s="200"/>
      <c r="E37" s="200"/>
      <c r="F37" s="200"/>
      <c r="H37" s="200"/>
      <c r="I37" s="253"/>
      <c r="L37" s="200"/>
      <c r="T37" s="200"/>
      <c r="Y37" s="344"/>
      <c r="Z37" s="266"/>
      <c r="AA37" s="266"/>
      <c r="AB37" s="266"/>
      <c r="AC37" s="266"/>
      <c r="AD37" s="266"/>
      <c r="AE37" s="266"/>
      <c r="AF37" s="10" t="s">
        <v>827</v>
      </c>
    </row>
    <row r="38" spans="1:48" s="42" customFormat="1" ht="20.25" customHeight="1" x14ac:dyDescent="0.25">
      <c r="A38" s="184"/>
      <c r="B38" s="200"/>
      <c r="C38" s="200"/>
      <c r="D38" s="200"/>
      <c r="E38" s="200"/>
      <c r="F38" s="200"/>
      <c r="H38" s="200"/>
      <c r="I38" s="253"/>
      <c r="L38" s="200"/>
      <c r="T38" s="200"/>
      <c r="Y38" s="344"/>
      <c r="Z38" s="266"/>
      <c r="AA38" s="266"/>
      <c r="AB38" s="266"/>
      <c r="AC38" s="266"/>
      <c r="AD38" s="266"/>
      <c r="AE38" s="266"/>
      <c r="AF38" s="35">
        <f>AF36/8</f>
        <v>385.41666666666669</v>
      </c>
    </row>
    <row r="39" spans="1:48" s="42" customFormat="1" ht="20.25" customHeight="1" x14ac:dyDescent="0.25">
      <c r="A39" s="184"/>
      <c r="B39" s="200"/>
      <c r="C39" s="200"/>
      <c r="D39" s="200"/>
      <c r="E39" s="200"/>
      <c r="F39" s="200"/>
      <c r="H39" s="200"/>
      <c r="I39" s="253"/>
      <c r="L39" s="200"/>
      <c r="T39" s="200"/>
      <c r="Y39" s="344"/>
      <c r="Z39" s="266"/>
      <c r="AA39" s="266"/>
      <c r="AB39" s="266"/>
      <c r="AC39" s="266"/>
      <c r="AD39" s="266"/>
      <c r="AE39" s="266"/>
      <c r="AF39" s="10" t="s">
        <v>313</v>
      </c>
    </row>
    <row r="40" spans="1:48" s="42" customFormat="1" ht="20.25" customHeight="1" x14ac:dyDescent="0.25">
      <c r="A40" s="184"/>
      <c r="B40" s="200"/>
      <c r="C40" s="200"/>
      <c r="D40" s="200"/>
      <c r="E40" s="200"/>
      <c r="F40" s="200"/>
      <c r="H40" s="200"/>
      <c r="I40" s="253"/>
      <c r="L40" s="200"/>
      <c r="T40" s="200"/>
      <c r="Y40" s="344"/>
      <c r="Z40" s="266"/>
      <c r="AA40" s="266"/>
      <c r="AB40" s="266"/>
      <c r="AC40" s="266"/>
      <c r="AD40" s="266"/>
      <c r="AE40" s="266"/>
      <c r="AF40" s="35">
        <f>AF38/X29</f>
        <v>48.177083333333336</v>
      </c>
    </row>
    <row r="41" spans="1:48" x14ac:dyDescent="0.25">
      <c r="A41" s="197"/>
      <c r="B41" s="185"/>
      <c r="C41" s="185"/>
      <c r="D41" s="185"/>
      <c r="E41" s="185"/>
      <c r="F41" s="185"/>
      <c r="G41"/>
      <c r="H41" s="185"/>
      <c r="I41" s="252"/>
      <c r="J41"/>
      <c r="K41" s="42"/>
      <c r="L41" s="185"/>
      <c r="M41"/>
      <c r="N41"/>
      <c r="O41"/>
      <c r="P41"/>
      <c r="Q41"/>
      <c r="R41"/>
      <c r="S41"/>
      <c r="T41" s="185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97"/>
      <c r="B42" s="185"/>
      <c r="C42" s="185"/>
      <c r="D42" s="185"/>
      <c r="E42" s="185"/>
      <c r="F42" s="185"/>
      <c r="G42"/>
      <c r="H42" s="185"/>
      <c r="I42" s="252"/>
      <c r="J42"/>
      <c r="K42"/>
      <c r="L42" s="185"/>
      <c r="M42"/>
      <c r="N42"/>
      <c r="O42"/>
      <c r="P42"/>
      <c r="Q42"/>
      <c r="R42"/>
      <c r="S42"/>
      <c r="T42" s="185"/>
      <c r="U42"/>
      <c r="V42"/>
      <c r="W42"/>
      <c r="X42"/>
      <c r="Y42" s="344" t="s">
        <v>661</v>
      </c>
      <c r="Z42" s="344"/>
      <c r="AA42" s="344"/>
      <c r="AB42" s="344"/>
      <c r="AC42" s="344"/>
      <c r="AD42" s="344"/>
      <c r="AE42" s="344"/>
      <c r="AF42" s="344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97"/>
      <c r="B43" s="185"/>
      <c r="C43" s="185"/>
      <c r="D43" s="185"/>
      <c r="E43" s="185"/>
      <c r="F43" s="185"/>
      <c r="G43"/>
      <c r="H43" s="185"/>
      <c r="I43" s="252"/>
      <c r="J43"/>
      <c r="K43"/>
      <c r="L43" s="185"/>
      <c r="M43"/>
      <c r="N43"/>
      <c r="O43"/>
      <c r="P43"/>
      <c r="Q43"/>
      <c r="R43"/>
      <c r="S43"/>
      <c r="T43" s="185"/>
      <c r="U43"/>
      <c r="V43"/>
      <c r="W43"/>
      <c r="X43"/>
      <c r="Y43" s="2" t="s">
        <v>557</v>
      </c>
      <c r="Z43" s="2" t="s">
        <v>556</v>
      </c>
      <c r="AA43" s="2" t="s">
        <v>553</v>
      </c>
      <c r="AB43" s="2" t="s">
        <v>554</v>
      </c>
      <c r="AC43" s="2" t="s">
        <v>558</v>
      </c>
      <c r="AD43" s="2" t="s">
        <v>555</v>
      </c>
      <c r="AE43" s="2" t="s">
        <v>660</v>
      </c>
      <c r="AF43" s="266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97"/>
      <c r="B44" s="185"/>
      <c r="C44" s="185"/>
      <c r="D44" s="185"/>
      <c r="E44" s="185"/>
      <c r="F44" s="185"/>
      <c r="G44"/>
      <c r="H44" s="185"/>
      <c r="I44" s="252"/>
      <c r="J44"/>
      <c r="K44"/>
      <c r="L44" s="185"/>
      <c r="M44"/>
      <c r="N44"/>
      <c r="O44"/>
      <c r="P44"/>
      <c r="Q44"/>
      <c r="R44"/>
      <c r="S44"/>
      <c r="T44" s="185"/>
      <c r="U44"/>
      <c r="V44"/>
      <c r="W44" s="267" t="s">
        <v>828</v>
      </c>
      <c r="X44" s="267">
        <f>X27</f>
        <v>8</v>
      </c>
      <c r="Y44" s="2" t="s">
        <v>829</v>
      </c>
      <c r="Z44" s="2">
        <f>2500*X44</f>
        <v>20000</v>
      </c>
      <c r="AA44" s="2">
        <f>1000*X44</f>
        <v>8000</v>
      </c>
      <c r="AB44" s="2">
        <f>300*X44</f>
        <v>2400</v>
      </c>
      <c r="AC44" s="2">
        <v>0</v>
      </c>
      <c r="AD44" s="2">
        <v>0</v>
      </c>
      <c r="AE44" s="2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97"/>
      <c r="B45" s="185"/>
      <c r="C45" s="185"/>
      <c r="D45" s="185"/>
      <c r="E45" s="185"/>
      <c r="F45" s="185"/>
      <c r="G45"/>
      <c r="H45" s="185"/>
      <c r="I45" s="252"/>
      <c r="J45"/>
      <c r="K45"/>
      <c r="L45" s="185"/>
      <c r="M45"/>
      <c r="N45"/>
      <c r="O45"/>
      <c r="P45"/>
      <c r="Q45"/>
      <c r="R45"/>
      <c r="S45"/>
      <c r="T45" s="185"/>
      <c r="U45"/>
      <c r="V45"/>
      <c r="W45" s="267" t="s">
        <v>830</v>
      </c>
      <c r="X45" s="267">
        <v>1</v>
      </c>
      <c r="Y45" s="2" t="s">
        <v>832</v>
      </c>
      <c r="Z45" s="2">
        <f>13000*X45</f>
        <v>13000</v>
      </c>
      <c r="AA45" s="2">
        <f>1000*X45</f>
        <v>1000</v>
      </c>
      <c r="AB45" s="2">
        <f>1750*X45</f>
        <v>1750</v>
      </c>
      <c r="AC45" s="2">
        <v>0</v>
      </c>
      <c r="AD45" s="2">
        <v>0</v>
      </c>
      <c r="AE45" s="2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97"/>
      <c r="B46" s="185"/>
      <c r="C46" s="185"/>
      <c r="D46" s="185"/>
      <c r="E46" s="185"/>
      <c r="F46" s="185"/>
      <c r="G46"/>
      <c r="H46" s="185"/>
      <c r="I46" s="252"/>
      <c r="J46"/>
      <c r="K46"/>
      <c r="L46" s="185"/>
      <c r="M46"/>
      <c r="N46"/>
      <c r="O46"/>
      <c r="P46"/>
      <c r="Q46"/>
      <c r="R46"/>
      <c r="S46"/>
      <c r="T46" s="185"/>
      <c r="U46"/>
      <c r="V46"/>
      <c r="W46" s="267" t="s">
        <v>831</v>
      </c>
      <c r="X46" s="267">
        <v>1</v>
      </c>
      <c r="Y46" s="2" t="s">
        <v>833</v>
      </c>
      <c r="Z46" s="2">
        <f>7000*X46</f>
        <v>7000</v>
      </c>
      <c r="AA46" s="2">
        <f>1000*X46</f>
        <v>1000</v>
      </c>
      <c r="AB46" s="2">
        <f>1000*X46</f>
        <v>1000</v>
      </c>
      <c r="AC46" s="2">
        <v>0</v>
      </c>
      <c r="AD46" s="2">
        <v>0</v>
      </c>
      <c r="AE46" s="2"/>
      <c r="AF46" s="10" t="s">
        <v>559</v>
      </c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97"/>
      <c r="B47" s="185"/>
      <c r="C47" s="185"/>
      <c r="D47" s="185"/>
      <c r="E47" s="185"/>
      <c r="F47" s="185"/>
      <c r="G47"/>
      <c r="H47" s="185"/>
      <c r="I47" s="252"/>
      <c r="J47"/>
      <c r="K47"/>
      <c r="L47" s="185"/>
      <c r="M47"/>
      <c r="N47"/>
      <c r="O47"/>
      <c r="P47"/>
      <c r="Q47"/>
      <c r="R47"/>
      <c r="S47"/>
      <c r="T47" s="185"/>
      <c r="U47"/>
      <c r="V47"/>
      <c r="W47"/>
      <c r="X47"/>
      <c r="Y47" s="344" t="s">
        <v>310</v>
      </c>
      <c r="Z47" s="10">
        <f>SUM(Z44:Z46)</f>
        <v>40000</v>
      </c>
      <c r="AA47" s="10">
        <f>SUM(AA44:AA46)</f>
        <v>10000</v>
      </c>
      <c r="AB47" s="10">
        <f>SUM(AB44:AB46)</f>
        <v>5150</v>
      </c>
      <c r="AC47" s="10">
        <f>SUM(AC44:AC46)</f>
        <v>0</v>
      </c>
      <c r="AD47" s="10">
        <f>SUM(AD44:AD46)</f>
        <v>0</v>
      </c>
      <c r="AE47" s="10">
        <v>2000</v>
      </c>
      <c r="AF47" s="10">
        <f>SUM(Z47:AE47)</f>
        <v>57150</v>
      </c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97"/>
      <c r="B48" s="185"/>
      <c r="C48" s="185"/>
      <c r="D48" s="185"/>
      <c r="E48" s="185"/>
      <c r="F48" s="185"/>
      <c r="G48"/>
      <c r="H48" s="185"/>
      <c r="I48" s="252"/>
      <c r="J48"/>
      <c r="K48"/>
      <c r="L48" s="185"/>
      <c r="M48"/>
      <c r="N48"/>
      <c r="O48"/>
      <c r="P48"/>
      <c r="Q48"/>
      <c r="R48"/>
      <c r="S48"/>
      <c r="T48" s="185"/>
      <c r="U48"/>
      <c r="V48"/>
      <c r="W48"/>
      <c r="X48"/>
      <c r="Y48" s="344"/>
      <c r="Z48" s="266"/>
      <c r="AA48" s="266"/>
      <c r="AB48" s="266"/>
      <c r="AC48" s="266"/>
      <c r="AD48" s="266"/>
      <c r="AE48" s="266"/>
      <c r="AF48" s="10" t="s">
        <v>560</v>
      </c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97"/>
      <c r="B49" s="185"/>
      <c r="C49" s="185"/>
      <c r="D49" s="185"/>
      <c r="E49" s="185"/>
      <c r="F49" s="185"/>
      <c r="G49"/>
      <c r="H49" s="185"/>
      <c r="I49" s="252"/>
      <c r="J49"/>
      <c r="K49"/>
      <c r="L49" s="185"/>
      <c r="M49"/>
      <c r="N49"/>
      <c r="O49"/>
      <c r="P49"/>
      <c r="Q49"/>
      <c r="R49"/>
      <c r="S49"/>
      <c r="T49" s="185"/>
      <c r="U49"/>
      <c r="V49"/>
      <c r="W49"/>
      <c r="X49"/>
      <c r="Y49" s="344"/>
      <c r="Z49" s="266"/>
      <c r="AA49" s="266"/>
      <c r="AB49" s="266"/>
      <c r="AC49" s="266"/>
      <c r="AD49" s="266"/>
      <c r="AE49" s="266"/>
      <c r="AF49" s="35">
        <f>AF47/4</f>
        <v>14287.5</v>
      </c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97"/>
      <c r="B50" s="185"/>
      <c r="C50" s="185"/>
      <c r="D50" s="185"/>
      <c r="E50" s="185"/>
      <c r="F50" s="185"/>
      <c r="G50"/>
      <c r="H50" s="185"/>
      <c r="I50" s="252"/>
      <c r="J50"/>
      <c r="K50"/>
      <c r="L50" s="185"/>
      <c r="M50"/>
      <c r="N50"/>
      <c r="O50"/>
      <c r="P50"/>
      <c r="Q50"/>
      <c r="R50"/>
      <c r="S50"/>
      <c r="T50" s="185"/>
      <c r="U50"/>
      <c r="V50"/>
      <c r="W50"/>
      <c r="X50"/>
      <c r="Y50" s="344"/>
      <c r="Z50" s="266"/>
      <c r="AA50" s="266"/>
      <c r="AB50" s="266"/>
      <c r="AC50" s="266"/>
      <c r="AD50" s="266"/>
      <c r="AE50" s="266"/>
      <c r="AF50" s="10" t="s">
        <v>826</v>
      </c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97"/>
      <c r="B51" s="185"/>
      <c r="C51" s="185"/>
      <c r="D51" s="185"/>
      <c r="E51" s="185"/>
      <c r="F51" s="185"/>
      <c r="G51"/>
      <c r="H51" s="185"/>
      <c r="I51" s="252"/>
      <c r="J51"/>
      <c r="K51"/>
      <c r="L51" s="185"/>
      <c r="M51"/>
      <c r="N51"/>
      <c r="O51"/>
      <c r="P51"/>
      <c r="Q51"/>
      <c r="R51"/>
      <c r="S51"/>
      <c r="T51" s="185"/>
      <c r="U51"/>
      <c r="V51"/>
      <c r="W51"/>
      <c r="X51"/>
      <c r="Y51" s="344"/>
      <c r="Z51" s="266"/>
      <c r="AA51" s="266"/>
      <c r="AB51" s="266"/>
      <c r="AC51" s="266"/>
      <c r="AD51" s="266"/>
      <c r="AE51" s="266"/>
      <c r="AF51" s="35">
        <f>AF49/6</f>
        <v>2381.25</v>
      </c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97"/>
      <c r="B52" s="185"/>
      <c r="C52" s="185"/>
      <c r="D52" s="185"/>
      <c r="E52" s="185"/>
      <c r="F52" s="185"/>
      <c r="G52"/>
      <c r="H52" s="185"/>
      <c r="I52" s="252"/>
      <c r="J52"/>
      <c r="K52"/>
      <c r="L52" s="185"/>
      <c r="M52"/>
      <c r="N52"/>
      <c r="O52"/>
      <c r="P52"/>
      <c r="Q52"/>
      <c r="R52"/>
      <c r="S52"/>
      <c r="T52" s="185"/>
      <c r="U52"/>
      <c r="V52"/>
      <c r="W52"/>
      <c r="X52"/>
      <c r="Y52" s="344"/>
      <c r="Z52" s="266"/>
      <c r="AA52" s="266"/>
      <c r="AB52" s="266"/>
      <c r="AC52" s="266"/>
      <c r="AD52" s="266"/>
      <c r="AE52" s="266"/>
      <c r="AF52" s="10" t="s">
        <v>827</v>
      </c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97"/>
      <c r="B53" s="185"/>
      <c r="C53" s="185"/>
      <c r="D53" s="185"/>
      <c r="E53" s="185"/>
      <c r="F53" s="185"/>
      <c r="G53"/>
      <c r="H53" s="185"/>
      <c r="I53" s="252"/>
      <c r="J53"/>
      <c r="K53"/>
      <c r="L53" s="185"/>
      <c r="M53"/>
      <c r="N53"/>
      <c r="O53"/>
      <c r="P53"/>
      <c r="Q53"/>
      <c r="R53"/>
      <c r="S53"/>
      <c r="T53" s="185"/>
      <c r="U53"/>
      <c r="V53"/>
      <c r="W53"/>
      <c r="X53"/>
      <c r="Y53" s="344"/>
      <c r="Z53" s="266"/>
      <c r="AA53" s="266"/>
      <c r="AB53" s="266"/>
      <c r="AC53" s="266"/>
      <c r="AD53" s="266"/>
      <c r="AE53" s="266"/>
      <c r="AF53" s="35">
        <f>AF51/8</f>
        <v>297.65625</v>
      </c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97"/>
      <c r="B54" s="185"/>
      <c r="C54" s="185"/>
      <c r="D54" s="185"/>
      <c r="E54" s="185"/>
      <c r="F54" s="185"/>
      <c r="G54"/>
      <c r="H54" s="185"/>
      <c r="I54" s="252"/>
      <c r="J54"/>
      <c r="K54"/>
      <c r="L54" s="185"/>
      <c r="M54"/>
      <c r="N54"/>
      <c r="O54"/>
      <c r="P54"/>
      <c r="Q54"/>
      <c r="R54"/>
      <c r="S54"/>
      <c r="T54" s="185"/>
      <c r="U54"/>
      <c r="V54"/>
      <c r="W54"/>
      <c r="X54"/>
      <c r="Y54" s="344"/>
      <c r="Z54" s="9"/>
      <c r="AA54" s="9"/>
      <c r="AB54" s="9"/>
      <c r="AC54" s="9"/>
      <c r="AD54" s="9"/>
      <c r="AE54" s="9"/>
      <c r="AF54" s="10" t="s">
        <v>313</v>
      </c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97"/>
      <c r="B55" s="185"/>
      <c r="C55" s="185"/>
      <c r="D55" s="185"/>
      <c r="E55" s="185"/>
      <c r="F55" s="185"/>
      <c r="G55"/>
      <c r="H55" s="185"/>
      <c r="I55" s="252"/>
      <c r="J55"/>
      <c r="K55"/>
      <c r="L55" s="185"/>
      <c r="M55"/>
      <c r="N55"/>
      <c r="O55"/>
      <c r="P55"/>
      <c r="Q55"/>
      <c r="R55"/>
      <c r="S55"/>
      <c r="T55" s="185"/>
      <c r="U55"/>
      <c r="V55"/>
      <c r="W55"/>
      <c r="X55"/>
      <c r="Y55" s="344"/>
      <c r="Z55" s="9"/>
      <c r="AA55" s="9"/>
      <c r="AB55" s="9"/>
      <c r="AC55" s="9"/>
      <c r="AD55" s="9"/>
      <c r="AE55" s="9"/>
      <c r="AF55" s="35">
        <f>AF53/X44</f>
        <v>37.20703125</v>
      </c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97"/>
      <c r="B56" s="185"/>
      <c r="C56" s="185"/>
      <c r="D56" s="185"/>
      <c r="E56" s="185"/>
      <c r="F56" s="185"/>
      <c r="G56"/>
      <c r="H56" s="185"/>
      <c r="I56" s="252"/>
      <c r="J56"/>
      <c r="K56"/>
      <c r="L56" s="185"/>
      <c r="M56"/>
      <c r="N56"/>
      <c r="O56"/>
      <c r="P56"/>
      <c r="Q56"/>
      <c r="R56"/>
      <c r="S56"/>
      <c r="T56" s="185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97"/>
      <c r="B57" s="185"/>
      <c r="C57" s="185"/>
      <c r="D57" s="185"/>
      <c r="E57" s="185"/>
      <c r="F57" s="185"/>
      <c r="G57"/>
      <c r="H57" s="185"/>
      <c r="I57" s="252"/>
      <c r="J57"/>
      <c r="K57"/>
      <c r="L57" s="185"/>
      <c r="M57"/>
      <c r="N57"/>
      <c r="O57"/>
      <c r="P57"/>
      <c r="Q57"/>
      <c r="R57"/>
      <c r="S57"/>
      <c r="T57" s="185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97"/>
      <c r="B58" s="185"/>
      <c r="C58" s="185"/>
      <c r="D58" s="185"/>
      <c r="E58" s="185"/>
      <c r="F58" s="185"/>
      <c r="G58"/>
      <c r="H58" s="185"/>
      <c r="I58" s="252"/>
      <c r="J58"/>
      <c r="K58"/>
      <c r="L58" s="185"/>
      <c r="M58"/>
      <c r="N58"/>
      <c r="O58"/>
      <c r="P58"/>
      <c r="Q58"/>
      <c r="R58"/>
      <c r="S58"/>
      <c r="T58" s="185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97"/>
      <c r="B59" s="185"/>
      <c r="C59" s="185"/>
      <c r="D59" s="185"/>
      <c r="E59" s="185"/>
      <c r="F59" s="185"/>
      <c r="G59"/>
      <c r="H59" s="185"/>
      <c r="I59" s="252"/>
      <c r="J59"/>
      <c r="K59"/>
      <c r="L59" s="185"/>
      <c r="M59"/>
      <c r="N59"/>
      <c r="O59"/>
      <c r="P59"/>
      <c r="Q59"/>
      <c r="R59"/>
      <c r="S59"/>
      <c r="T59" s="185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97"/>
      <c r="B60" s="185"/>
      <c r="C60" s="185"/>
      <c r="D60" s="185"/>
      <c r="E60" s="185"/>
      <c r="F60" s="185"/>
      <c r="G60"/>
      <c r="H60" s="185"/>
      <c r="I60" s="252"/>
      <c r="J60"/>
      <c r="K60"/>
      <c r="L60" s="185"/>
      <c r="M60"/>
      <c r="N60"/>
      <c r="O60"/>
      <c r="P60"/>
      <c r="Q60"/>
      <c r="R60"/>
      <c r="S60"/>
      <c r="T60" s="185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97"/>
      <c r="B61" s="185"/>
      <c r="C61" s="185"/>
      <c r="D61" s="185"/>
      <c r="E61" s="185"/>
      <c r="F61" s="185"/>
      <c r="G61"/>
      <c r="H61" s="185"/>
      <c r="I61" s="252"/>
      <c r="J61"/>
      <c r="K61"/>
      <c r="L61" s="185"/>
      <c r="M61"/>
      <c r="N61"/>
      <c r="O61"/>
      <c r="P61"/>
      <c r="Q61"/>
      <c r="R61"/>
      <c r="S61"/>
      <c r="T61" s="185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97"/>
      <c r="B62" s="185"/>
      <c r="C62" s="185"/>
      <c r="D62" s="185"/>
      <c r="E62" s="185"/>
      <c r="F62" s="185"/>
      <c r="G62"/>
      <c r="H62" s="185"/>
      <c r="I62" s="252"/>
      <c r="J62"/>
      <c r="K62"/>
      <c r="L62" s="185"/>
      <c r="M62"/>
      <c r="N62"/>
      <c r="O62"/>
      <c r="P62"/>
      <c r="Q62"/>
      <c r="R62"/>
      <c r="S62"/>
      <c r="T62" s="185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97"/>
      <c r="B63" s="185"/>
      <c r="C63" s="185"/>
      <c r="D63" s="185"/>
      <c r="E63" s="185"/>
      <c r="F63" s="185"/>
      <c r="G63"/>
      <c r="H63" s="185"/>
      <c r="I63" s="252"/>
      <c r="J63"/>
      <c r="K63"/>
      <c r="L63" s="185"/>
      <c r="M63"/>
      <c r="N63"/>
      <c r="O63"/>
      <c r="P63"/>
      <c r="Q63"/>
      <c r="R63"/>
      <c r="S63"/>
      <c r="T63" s="185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97"/>
      <c r="B64" s="185"/>
      <c r="C64" s="185"/>
      <c r="D64" s="185"/>
      <c r="E64" s="185"/>
      <c r="F64" s="185"/>
      <c r="G64"/>
      <c r="H64" s="185"/>
      <c r="I64" s="252"/>
      <c r="J64"/>
      <c r="K64"/>
      <c r="L64" s="185"/>
      <c r="M64"/>
      <c r="N64"/>
      <c r="O64"/>
      <c r="P64"/>
      <c r="Q64"/>
      <c r="R64"/>
      <c r="S64"/>
      <c r="T64" s="185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97"/>
      <c r="B65" s="185"/>
      <c r="C65" s="185"/>
      <c r="D65" s="185"/>
      <c r="E65" s="185"/>
      <c r="F65" s="185"/>
      <c r="G65"/>
      <c r="H65" s="185"/>
      <c r="I65" s="252"/>
      <c r="J65"/>
      <c r="K65"/>
      <c r="L65" s="185"/>
      <c r="M65"/>
      <c r="N65"/>
      <c r="O65"/>
      <c r="P65"/>
      <c r="Q65"/>
      <c r="R65"/>
      <c r="S65"/>
      <c r="T65" s="18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97"/>
      <c r="B66" s="185"/>
      <c r="C66" s="185"/>
      <c r="D66" s="185"/>
      <c r="E66" s="185"/>
      <c r="F66" s="185"/>
      <c r="G66"/>
      <c r="H66" s="185"/>
      <c r="I66" s="252"/>
      <c r="J66"/>
      <c r="K66"/>
      <c r="L66" s="185"/>
      <c r="M66"/>
      <c r="N66"/>
      <c r="O66"/>
      <c r="P66"/>
      <c r="Q66"/>
      <c r="R66"/>
      <c r="S66"/>
      <c r="T66" s="185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97"/>
      <c r="B67" s="185"/>
      <c r="C67" s="185"/>
      <c r="D67" s="185"/>
      <c r="E67" s="185"/>
      <c r="F67" s="185"/>
      <c r="G67"/>
      <c r="H67" s="185"/>
      <c r="I67" s="252"/>
      <c r="J67"/>
      <c r="K67"/>
      <c r="L67" s="185"/>
      <c r="M67"/>
      <c r="N67"/>
      <c r="O67"/>
      <c r="P67"/>
      <c r="Q67"/>
      <c r="R67"/>
      <c r="S67"/>
      <c r="T67" s="185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97"/>
      <c r="B68" s="185"/>
      <c r="C68" s="185"/>
      <c r="D68" s="185"/>
      <c r="E68" s="185"/>
      <c r="F68" s="185"/>
      <c r="G68"/>
      <c r="H68" s="185"/>
      <c r="I68" s="252"/>
      <c r="J68"/>
      <c r="K68"/>
      <c r="L68" s="185"/>
      <c r="M68"/>
      <c r="N68"/>
      <c r="O68"/>
      <c r="P68"/>
      <c r="Q68"/>
      <c r="R68"/>
      <c r="S68"/>
      <c r="T68" s="185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97"/>
      <c r="B69" s="185"/>
      <c r="C69" s="185"/>
      <c r="D69" s="185"/>
      <c r="E69" s="185"/>
      <c r="F69" s="185"/>
      <c r="G69"/>
      <c r="H69" s="185"/>
      <c r="I69" s="252"/>
      <c r="J69"/>
      <c r="K69"/>
      <c r="L69" s="185"/>
      <c r="M69"/>
      <c r="N69"/>
      <c r="O69"/>
      <c r="P69"/>
      <c r="Q69"/>
      <c r="R69"/>
      <c r="S69"/>
      <c r="T69" s="185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97"/>
      <c r="B70" s="185"/>
      <c r="C70" s="185"/>
      <c r="D70" s="185"/>
      <c r="E70" s="185"/>
      <c r="F70" s="185"/>
      <c r="G70"/>
      <c r="H70" s="185"/>
      <c r="I70" s="252"/>
      <c r="J70"/>
      <c r="K70"/>
      <c r="L70" s="185"/>
      <c r="M70"/>
      <c r="N70"/>
      <c r="O70"/>
      <c r="P70"/>
      <c r="Q70"/>
      <c r="R70"/>
      <c r="S70"/>
      <c r="T70" s="185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97"/>
      <c r="B71" s="185"/>
      <c r="C71" s="185"/>
      <c r="D71" s="185"/>
      <c r="E71" s="185"/>
      <c r="F71" s="185"/>
      <c r="G71"/>
      <c r="H71" s="185"/>
      <c r="I71" s="252"/>
      <c r="J71"/>
      <c r="K71"/>
      <c r="L71" s="185"/>
      <c r="M71"/>
      <c r="N71"/>
      <c r="O71"/>
      <c r="P71"/>
      <c r="Q71"/>
      <c r="R71"/>
      <c r="S71"/>
      <c r="T71" s="185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97"/>
      <c r="B72" s="185"/>
      <c r="C72" s="185"/>
      <c r="D72" s="185"/>
      <c r="E72" s="185"/>
      <c r="F72" s="185"/>
      <c r="G72"/>
      <c r="H72" s="185"/>
      <c r="I72" s="252"/>
      <c r="J72"/>
      <c r="K72"/>
      <c r="L72" s="185"/>
      <c r="M72"/>
      <c r="N72"/>
      <c r="O72"/>
      <c r="P72"/>
      <c r="Q72"/>
      <c r="R72"/>
      <c r="S72"/>
      <c r="T72" s="185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97"/>
      <c r="B73" s="185"/>
      <c r="C73" s="185"/>
      <c r="D73" s="185"/>
      <c r="E73" s="185"/>
      <c r="F73" s="185"/>
      <c r="G73"/>
      <c r="H73" s="185"/>
      <c r="I73" s="252"/>
      <c r="J73"/>
      <c r="K73"/>
      <c r="L73" s="185"/>
      <c r="M73"/>
      <c r="N73"/>
      <c r="O73"/>
      <c r="P73"/>
      <c r="Q73"/>
      <c r="R73"/>
      <c r="S73"/>
      <c r="T73" s="185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97"/>
      <c r="B74" s="185"/>
      <c r="C74" s="185"/>
      <c r="D74" s="185"/>
      <c r="E74" s="185"/>
      <c r="F74" s="185"/>
      <c r="G74"/>
      <c r="H74" s="185"/>
      <c r="I74" s="252"/>
      <c r="J74"/>
      <c r="K74"/>
      <c r="L74" s="185"/>
      <c r="M74"/>
      <c r="N74"/>
      <c r="O74"/>
      <c r="P74"/>
      <c r="Q74"/>
      <c r="R74"/>
      <c r="S74"/>
      <c r="T74" s="185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97"/>
      <c r="B75" s="185"/>
      <c r="C75" s="185"/>
      <c r="D75" s="185"/>
      <c r="E75" s="185"/>
      <c r="F75" s="185"/>
      <c r="G75"/>
      <c r="H75" s="185"/>
      <c r="I75" s="252"/>
      <c r="J75"/>
      <c r="K75"/>
      <c r="L75" s="185"/>
      <c r="M75"/>
      <c r="N75"/>
      <c r="O75"/>
      <c r="P75"/>
      <c r="Q75"/>
      <c r="R75"/>
      <c r="S75"/>
      <c r="T75" s="18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97"/>
      <c r="B76" s="185"/>
      <c r="C76" s="185"/>
      <c r="D76" s="185"/>
      <c r="E76" s="185"/>
      <c r="F76" s="185"/>
      <c r="G76"/>
      <c r="H76" s="185"/>
      <c r="I76" s="252"/>
      <c r="J76"/>
      <c r="K76"/>
      <c r="L76" s="185"/>
      <c r="M76"/>
      <c r="N76"/>
      <c r="O76"/>
      <c r="P76"/>
      <c r="Q76"/>
      <c r="R76"/>
      <c r="S76"/>
      <c r="T76" s="185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97"/>
      <c r="B77" s="185"/>
      <c r="C77" s="185"/>
      <c r="D77" s="185"/>
      <c r="E77" s="185"/>
      <c r="F77" s="185"/>
      <c r="G77"/>
      <c r="H77" s="185"/>
      <c r="I77" s="252"/>
      <c r="J77"/>
      <c r="K77"/>
      <c r="L77" s="185"/>
      <c r="M77"/>
      <c r="N77"/>
      <c r="O77"/>
      <c r="P77"/>
      <c r="Q77"/>
      <c r="R77"/>
      <c r="S77"/>
      <c r="T77" s="185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97"/>
      <c r="B78" s="185"/>
      <c r="C78" s="185"/>
      <c r="D78" s="185"/>
      <c r="E78" s="185"/>
      <c r="F78" s="185"/>
      <c r="G78"/>
      <c r="H78" s="185"/>
      <c r="I78" s="252"/>
      <c r="J78"/>
      <c r="K78"/>
      <c r="L78" s="185"/>
      <c r="M78"/>
      <c r="N78"/>
      <c r="O78"/>
      <c r="P78"/>
      <c r="Q78"/>
      <c r="R78"/>
      <c r="S78"/>
      <c r="T78" s="185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97"/>
      <c r="B79" s="185"/>
      <c r="C79" s="185"/>
      <c r="D79" s="185"/>
      <c r="E79" s="185"/>
      <c r="F79" s="185"/>
      <c r="G79"/>
      <c r="H79" s="185"/>
      <c r="I79" s="252"/>
      <c r="J79"/>
      <c r="K79"/>
      <c r="L79" s="185"/>
      <c r="M79"/>
      <c r="N79"/>
      <c r="O79"/>
      <c r="P79"/>
      <c r="Q79"/>
      <c r="R79"/>
      <c r="S79"/>
      <c r="T79" s="185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97"/>
      <c r="B80" s="185"/>
      <c r="C80" s="185"/>
      <c r="D80" s="185"/>
      <c r="E80" s="185"/>
      <c r="F80" s="185"/>
      <c r="G80"/>
      <c r="H80" s="185"/>
      <c r="I80" s="252"/>
      <c r="J80"/>
      <c r="K80"/>
      <c r="L80" s="185"/>
      <c r="M80"/>
      <c r="N80"/>
      <c r="O80"/>
      <c r="P80"/>
      <c r="Q80"/>
      <c r="R80"/>
      <c r="S80"/>
      <c r="T80" s="185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97"/>
      <c r="B81" s="185"/>
      <c r="C81" s="185"/>
      <c r="D81" s="185"/>
      <c r="E81" s="185"/>
      <c r="F81" s="185"/>
      <c r="G81"/>
      <c r="H81" s="185"/>
      <c r="I81" s="252"/>
      <c r="J81"/>
      <c r="K81"/>
      <c r="L81" s="185"/>
      <c r="M81"/>
      <c r="N81"/>
      <c r="O81"/>
      <c r="P81"/>
      <c r="Q81"/>
      <c r="R81"/>
      <c r="S81"/>
      <c r="T81" s="185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97"/>
      <c r="B82" s="185"/>
      <c r="C82" s="185"/>
      <c r="D82" s="185"/>
      <c r="E82" s="185"/>
      <c r="F82" s="185"/>
      <c r="G82"/>
      <c r="H82" s="185"/>
      <c r="I82" s="252"/>
      <c r="J82"/>
      <c r="K82"/>
      <c r="L82" s="185"/>
      <c r="M82"/>
      <c r="N82"/>
      <c r="O82"/>
      <c r="P82"/>
      <c r="Q82"/>
      <c r="R82"/>
      <c r="S82"/>
      <c r="T82" s="185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97"/>
      <c r="B83" s="185"/>
      <c r="C83" s="185"/>
      <c r="D83" s="185"/>
      <c r="E83" s="185"/>
      <c r="F83" s="185"/>
      <c r="G83"/>
      <c r="H83" s="185"/>
      <c r="I83" s="252"/>
      <c r="J83"/>
      <c r="K83"/>
      <c r="L83" s="185"/>
      <c r="M83"/>
      <c r="N83"/>
      <c r="O83"/>
      <c r="P83"/>
      <c r="Q83"/>
      <c r="R83"/>
      <c r="S83"/>
      <c r="T83" s="185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97"/>
      <c r="B84" s="185"/>
      <c r="C84" s="185"/>
      <c r="D84" s="185"/>
      <c r="E84" s="185"/>
      <c r="F84" s="185"/>
      <c r="G84"/>
      <c r="H84" s="185"/>
      <c r="I84" s="252"/>
      <c r="J84"/>
      <c r="K84"/>
      <c r="L84" s="185"/>
      <c r="M84"/>
      <c r="N84"/>
      <c r="O84"/>
      <c r="P84"/>
      <c r="Q84"/>
      <c r="R84"/>
      <c r="S84"/>
      <c r="T84" s="185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97"/>
      <c r="B85" s="185"/>
      <c r="C85" s="185"/>
      <c r="D85" s="185"/>
      <c r="E85" s="185"/>
      <c r="F85" s="185"/>
      <c r="G85"/>
      <c r="H85" s="185"/>
      <c r="I85" s="252"/>
      <c r="J85"/>
      <c r="K85"/>
      <c r="L85" s="185"/>
      <c r="M85"/>
      <c r="N85"/>
      <c r="O85"/>
      <c r="P85"/>
      <c r="Q85"/>
      <c r="R85"/>
      <c r="S85"/>
      <c r="T85" s="1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97"/>
      <c r="B86" s="185"/>
      <c r="C86" s="185"/>
      <c r="D86" s="185"/>
      <c r="E86" s="185"/>
      <c r="F86" s="185"/>
      <c r="G86"/>
      <c r="H86" s="185"/>
      <c r="I86" s="252"/>
      <c r="J86"/>
      <c r="K86"/>
      <c r="L86" s="185"/>
      <c r="M86"/>
      <c r="N86"/>
      <c r="O86"/>
      <c r="P86"/>
      <c r="Q86"/>
      <c r="R86"/>
      <c r="S86"/>
      <c r="T86" s="185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97"/>
      <c r="B87" s="185"/>
      <c r="C87" s="185"/>
      <c r="D87" s="185"/>
      <c r="E87" s="185"/>
      <c r="F87" s="185"/>
      <c r="G87"/>
      <c r="H87" s="185"/>
      <c r="I87" s="252"/>
      <c r="J87"/>
      <c r="K87"/>
      <c r="L87" s="185"/>
      <c r="M87"/>
      <c r="N87"/>
      <c r="O87"/>
      <c r="P87"/>
      <c r="Q87"/>
      <c r="R87"/>
      <c r="S87"/>
      <c r="T87" s="185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97"/>
      <c r="B88" s="185"/>
      <c r="C88" s="185"/>
      <c r="D88" s="185"/>
      <c r="E88" s="185"/>
      <c r="F88" s="185"/>
      <c r="G88"/>
      <c r="H88" s="185"/>
      <c r="I88" s="252"/>
      <c r="J88"/>
      <c r="K88"/>
      <c r="L88" s="185"/>
      <c r="M88"/>
      <c r="N88"/>
      <c r="O88"/>
      <c r="P88"/>
      <c r="Q88"/>
      <c r="R88"/>
      <c r="S88"/>
      <c r="T88" s="185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97"/>
      <c r="B89" s="185"/>
      <c r="C89" s="185"/>
      <c r="D89" s="185"/>
      <c r="E89" s="185"/>
      <c r="F89" s="185"/>
      <c r="G89"/>
      <c r="H89" s="185"/>
      <c r="I89" s="252"/>
      <c r="J89"/>
      <c r="K89"/>
      <c r="L89" s="185"/>
      <c r="M89"/>
      <c r="N89"/>
      <c r="O89"/>
      <c r="P89"/>
      <c r="Q89"/>
      <c r="R89"/>
      <c r="S89"/>
      <c r="T89" s="185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97"/>
      <c r="B90" s="185"/>
      <c r="C90" s="185"/>
      <c r="D90" s="185"/>
      <c r="E90" s="185"/>
      <c r="F90" s="185"/>
      <c r="G90"/>
      <c r="H90" s="185"/>
      <c r="I90" s="252"/>
      <c r="J90"/>
      <c r="K90"/>
      <c r="L90" s="185"/>
      <c r="M90"/>
      <c r="N90"/>
      <c r="O90"/>
      <c r="P90"/>
      <c r="Q90"/>
      <c r="R90"/>
      <c r="S90"/>
      <c r="T90" s="185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97"/>
      <c r="B91" s="185"/>
      <c r="C91" s="185"/>
      <c r="D91" s="185"/>
      <c r="E91" s="185"/>
      <c r="F91" s="185"/>
      <c r="G91"/>
      <c r="H91" s="185"/>
      <c r="I91" s="252"/>
      <c r="J91"/>
      <c r="K91"/>
      <c r="L91" s="185"/>
      <c r="M91"/>
      <c r="N91"/>
      <c r="O91"/>
      <c r="P91"/>
      <c r="Q91"/>
      <c r="R91"/>
      <c r="S91"/>
      <c r="T91" s="185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97"/>
      <c r="B92" s="185"/>
      <c r="C92" s="185"/>
      <c r="D92" s="185"/>
      <c r="E92" s="185"/>
      <c r="F92" s="185"/>
      <c r="G92"/>
      <c r="H92" s="185"/>
      <c r="I92" s="252"/>
      <c r="J92"/>
      <c r="K92"/>
      <c r="L92" s="185"/>
      <c r="M92"/>
      <c r="N92"/>
      <c r="O92"/>
      <c r="P92"/>
      <c r="Q92"/>
      <c r="R92"/>
      <c r="S92"/>
      <c r="T92" s="185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97"/>
      <c r="B93" s="185"/>
      <c r="C93" s="185"/>
      <c r="D93" s="185"/>
      <c r="E93" s="185"/>
      <c r="F93" s="185"/>
      <c r="G93"/>
      <c r="H93" s="185"/>
      <c r="I93" s="252"/>
      <c r="J93"/>
      <c r="K93"/>
      <c r="L93" s="185"/>
      <c r="M93"/>
      <c r="N93"/>
      <c r="O93"/>
      <c r="P93"/>
      <c r="Q93"/>
      <c r="R93"/>
      <c r="S93"/>
      <c r="T93" s="185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97"/>
      <c r="B94" s="185"/>
      <c r="C94" s="185"/>
      <c r="D94" s="185"/>
      <c r="E94" s="185"/>
      <c r="F94" s="185"/>
      <c r="G94"/>
      <c r="H94" s="185"/>
      <c r="I94" s="252"/>
      <c r="J94"/>
      <c r="K94"/>
      <c r="L94" s="185"/>
      <c r="M94"/>
      <c r="N94"/>
      <c r="O94"/>
      <c r="P94"/>
      <c r="Q94"/>
      <c r="R94"/>
      <c r="S94"/>
      <c r="T94" s="185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97"/>
      <c r="B95" s="185"/>
      <c r="C95" s="185"/>
      <c r="D95" s="185"/>
      <c r="E95" s="185"/>
      <c r="F95" s="185"/>
      <c r="G95"/>
      <c r="H95" s="185"/>
      <c r="I95" s="252"/>
      <c r="J95"/>
      <c r="K95"/>
      <c r="L95" s="185"/>
      <c r="M95"/>
      <c r="N95"/>
      <c r="O95"/>
      <c r="P95"/>
      <c r="Q95"/>
      <c r="R95"/>
      <c r="S95"/>
      <c r="T95" s="18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97"/>
      <c r="B96" s="185"/>
      <c r="C96" s="185"/>
      <c r="D96" s="185"/>
      <c r="E96" s="185"/>
      <c r="F96" s="185"/>
      <c r="G96"/>
      <c r="H96" s="185"/>
      <c r="I96" s="252"/>
      <c r="J96"/>
      <c r="K96"/>
      <c r="L96" s="185"/>
      <c r="M96"/>
      <c r="N96"/>
      <c r="O96"/>
      <c r="P96"/>
      <c r="Q96"/>
      <c r="R96"/>
      <c r="S96"/>
      <c r="T96" s="185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97"/>
      <c r="B97" s="185"/>
      <c r="C97" s="185"/>
      <c r="D97" s="185"/>
      <c r="E97" s="185"/>
      <c r="F97" s="185"/>
      <c r="G97"/>
      <c r="H97" s="185"/>
      <c r="I97" s="252"/>
      <c r="J97"/>
      <c r="K97"/>
      <c r="L97" s="185"/>
      <c r="M97"/>
      <c r="N97"/>
      <c r="O97"/>
      <c r="P97"/>
      <c r="Q97"/>
      <c r="R97"/>
      <c r="S97"/>
      <c r="T97" s="185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97"/>
      <c r="B98" s="185"/>
      <c r="C98" s="185"/>
      <c r="D98" s="185"/>
      <c r="E98" s="185"/>
      <c r="F98" s="185"/>
      <c r="G98"/>
      <c r="H98" s="185"/>
      <c r="I98" s="252"/>
      <c r="J98"/>
      <c r="K98"/>
      <c r="L98" s="185"/>
      <c r="M98"/>
      <c r="N98"/>
      <c r="O98"/>
      <c r="P98"/>
      <c r="Q98"/>
      <c r="R98"/>
      <c r="S98"/>
      <c r="T98" s="185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97"/>
      <c r="B99" s="185"/>
      <c r="C99" s="185"/>
      <c r="D99" s="185"/>
      <c r="E99" s="185"/>
      <c r="F99" s="185"/>
      <c r="G99"/>
      <c r="H99" s="185"/>
      <c r="I99" s="252"/>
      <c r="J99"/>
      <c r="K99"/>
      <c r="L99" s="185"/>
      <c r="M99"/>
      <c r="N99"/>
      <c r="O99"/>
      <c r="P99"/>
      <c r="Q99"/>
      <c r="R99"/>
      <c r="S99"/>
      <c r="T99" s="185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97"/>
      <c r="B100" s="185"/>
      <c r="C100" s="185"/>
      <c r="D100" s="185"/>
      <c r="E100" s="185"/>
      <c r="F100" s="185"/>
      <c r="G100"/>
      <c r="H100" s="185"/>
      <c r="I100" s="252"/>
      <c r="J100"/>
      <c r="K100"/>
      <c r="L100" s="185"/>
      <c r="M100"/>
      <c r="N100"/>
      <c r="O100"/>
      <c r="P100"/>
      <c r="Q100"/>
      <c r="R100"/>
      <c r="S100"/>
      <c r="T100" s="185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97"/>
      <c r="B101" s="185"/>
      <c r="C101" s="185"/>
      <c r="D101" s="185"/>
      <c r="E101" s="185"/>
      <c r="F101" s="185"/>
      <c r="G101"/>
      <c r="H101" s="185"/>
      <c r="I101" s="252"/>
      <c r="J101"/>
      <c r="K101"/>
      <c r="L101" s="185"/>
      <c r="M101"/>
      <c r="N101"/>
      <c r="O101"/>
      <c r="P101"/>
      <c r="Q101"/>
      <c r="R101"/>
      <c r="S101"/>
      <c r="T101" s="185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97"/>
      <c r="B102" s="185"/>
      <c r="C102" s="185"/>
      <c r="D102" s="185"/>
      <c r="E102" s="185"/>
      <c r="F102" s="185"/>
      <c r="G102"/>
      <c r="H102" s="185"/>
      <c r="I102" s="252"/>
      <c r="J102"/>
      <c r="K102"/>
      <c r="L102" s="185"/>
      <c r="M102"/>
      <c r="N102"/>
      <c r="O102"/>
      <c r="P102"/>
      <c r="Q102"/>
      <c r="R102"/>
      <c r="S102"/>
      <c r="T102" s="185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97"/>
      <c r="B103" s="185"/>
      <c r="C103" s="185"/>
      <c r="D103" s="185"/>
      <c r="E103" s="185"/>
      <c r="F103" s="185"/>
      <c r="G103"/>
      <c r="H103" s="185"/>
      <c r="I103" s="252"/>
      <c r="J103"/>
      <c r="K103"/>
      <c r="L103" s="185"/>
      <c r="M103"/>
      <c r="N103"/>
      <c r="O103"/>
      <c r="P103"/>
      <c r="Q103"/>
      <c r="R103"/>
      <c r="S103"/>
      <c r="T103" s="185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97"/>
      <c r="B104" s="185"/>
      <c r="C104" s="185"/>
      <c r="D104" s="185"/>
      <c r="E104" s="185"/>
      <c r="F104" s="185"/>
      <c r="G104"/>
      <c r="H104" s="185"/>
      <c r="I104" s="252"/>
      <c r="J104"/>
      <c r="K104"/>
      <c r="L104" s="185"/>
      <c r="M104"/>
      <c r="N104"/>
      <c r="O104"/>
      <c r="P104"/>
      <c r="Q104"/>
      <c r="R104"/>
      <c r="S104"/>
      <c r="T104" s="185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97"/>
      <c r="B105" s="185"/>
      <c r="C105" s="185"/>
      <c r="D105" s="185"/>
      <c r="E105" s="185"/>
      <c r="F105" s="185"/>
      <c r="G105"/>
      <c r="H105" s="185"/>
      <c r="I105" s="252"/>
      <c r="J105"/>
      <c r="K105"/>
      <c r="L105" s="185"/>
      <c r="M105"/>
      <c r="N105"/>
      <c r="O105"/>
      <c r="P105"/>
      <c r="Q105"/>
      <c r="R105"/>
      <c r="S105"/>
      <c r="T105" s="18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97"/>
      <c r="B106" s="185"/>
      <c r="C106" s="185"/>
      <c r="D106" s="185"/>
      <c r="E106" s="185"/>
      <c r="F106" s="185"/>
      <c r="G106"/>
      <c r="H106" s="185"/>
      <c r="I106" s="252"/>
      <c r="J106"/>
      <c r="K106"/>
      <c r="L106" s="185"/>
      <c r="M106"/>
      <c r="N106"/>
      <c r="O106"/>
      <c r="P106"/>
      <c r="Q106"/>
      <c r="R106"/>
      <c r="S106"/>
      <c r="T106" s="185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97"/>
      <c r="B107" s="185"/>
      <c r="C107" s="185"/>
      <c r="D107" s="185"/>
      <c r="E107" s="185"/>
      <c r="F107" s="185"/>
      <c r="G107"/>
      <c r="H107" s="185"/>
      <c r="I107" s="252"/>
      <c r="J107"/>
      <c r="K107"/>
      <c r="L107" s="185"/>
      <c r="M107"/>
      <c r="N107"/>
      <c r="O107"/>
      <c r="P107"/>
      <c r="Q107"/>
      <c r="R107"/>
      <c r="S107"/>
      <c r="T107" s="185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97"/>
      <c r="B108" s="185"/>
      <c r="C108" s="185"/>
      <c r="D108" s="185"/>
      <c r="E108" s="185"/>
      <c r="F108" s="185"/>
      <c r="G108"/>
      <c r="H108" s="185"/>
      <c r="I108" s="252"/>
      <c r="J108"/>
      <c r="K108"/>
      <c r="L108" s="185"/>
      <c r="M108"/>
      <c r="N108"/>
      <c r="O108"/>
      <c r="P108"/>
      <c r="Q108"/>
      <c r="R108"/>
      <c r="S108"/>
      <c r="T108" s="185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97"/>
      <c r="B109" s="185"/>
      <c r="C109" s="185"/>
      <c r="D109" s="185"/>
      <c r="E109" s="185"/>
      <c r="F109" s="185"/>
      <c r="G109"/>
      <c r="H109" s="185"/>
      <c r="I109" s="252"/>
      <c r="J109"/>
      <c r="K109"/>
      <c r="L109" s="185"/>
      <c r="M109"/>
      <c r="N109"/>
      <c r="O109"/>
      <c r="P109"/>
      <c r="Q109"/>
      <c r="R109"/>
      <c r="S109"/>
      <c r="T109" s="185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97"/>
      <c r="B110" s="185"/>
      <c r="C110" s="185"/>
      <c r="D110" s="185"/>
      <c r="E110" s="185"/>
      <c r="F110" s="185"/>
      <c r="G110"/>
      <c r="H110" s="185"/>
      <c r="I110" s="252"/>
      <c r="J110"/>
      <c r="K110"/>
      <c r="L110" s="185"/>
      <c r="M110"/>
      <c r="N110"/>
      <c r="O110"/>
      <c r="P110"/>
      <c r="Q110"/>
      <c r="R110"/>
      <c r="S110"/>
      <c r="T110" s="185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97"/>
      <c r="B111" s="185"/>
      <c r="C111" s="185"/>
      <c r="D111" s="185"/>
      <c r="E111" s="185"/>
      <c r="F111" s="185"/>
      <c r="G111"/>
      <c r="H111" s="185"/>
      <c r="I111" s="252"/>
      <c r="J111"/>
      <c r="K111"/>
      <c r="L111" s="185"/>
      <c r="M111"/>
      <c r="N111"/>
      <c r="O111"/>
      <c r="P111"/>
      <c r="Q111"/>
      <c r="R111"/>
      <c r="S111"/>
      <c r="T111" s="185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97"/>
      <c r="B112" s="185"/>
      <c r="C112" s="185"/>
      <c r="D112" s="185"/>
      <c r="E112" s="185"/>
      <c r="F112" s="185"/>
      <c r="G112"/>
      <c r="H112" s="185"/>
      <c r="I112" s="252"/>
      <c r="J112"/>
      <c r="K112"/>
      <c r="L112" s="185"/>
      <c r="M112"/>
      <c r="N112"/>
      <c r="O112"/>
      <c r="P112"/>
      <c r="Q112"/>
      <c r="R112"/>
      <c r="S112"/>
      <c r="T112" s="185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97"/>
      <c r="B113" s="185"/>
      <c r="C113" s="185"/>
      <c r="D113" s="185"/>
      <c r="E113" s="185"/>
      <c r="F113" s="185"/>
      <c r="G113"/>
      <c r="H113" s="185"/>
      <c r="I113" s="252"/>
      <c r="J113"/>
      <c r="K113"/>
      <c r="L113" s="185"/>
      <c r="M113"/>
      <c r="N113"/>
      <c r="O113"/>
      <c r="P113"/>
      <c r="Q113"/>
      <c r="R113"/>
      <c r="S113"/>
      <c r="T113" s="185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97"/>
      <c r="B114" s="185"/>
      <c r="C114" s="185"/>
      <c r="D114" s="185"/>
      <c r="E114" s="185"/>
      <c r="F114" s="185"/>
      <c r="G114"/>
      <c r="H114" s="185"/>
      <c r="I114" s="252"/>
      <c r="J114"/>
      <c r="K114"/>
      <c r="L114" s="185"/>
      <c r="M114"/>
      <c r="N114"/>
      <c r="O114"/>
      <c r="P114"/>
      <c r="Q114"/>
      <c r="R114"/>
      <c r="S114"/>
      <c r="T114" s="185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97"/>
      <c r="B115" s="185"/>
      <c r="C115" s="185"/>
      <c r="D115" s="185"/>
      <c r="E115" s="185"/>
      <c r="F115" s="185"/>
      <c r="G115"/>
      <c r="H115" s="185"/>
      <c r="I115" s="252"/>
      <c r="J115"/>
      <c r="K115"/>
      <c r="L115" s="185"/>
      <c r="M115"/>
      <c r="N115"/>
      <c r="O115"/>
      <c r="P115"/>
      <c r="Q115"/>
      <c r="R115"/>
      <c r="S115"/>
      <c r="T115" s="18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97"/>
      <c r="B116" s="185"/>
      <c r="C116" s="185"/>
      <c r="D116" s="185"/>
      <c r="E116" s="185"/>
      <c r="F116" s="185"/>
      <c r="G116"/>
      <c r="H116" s="185"/>
      <c r="I116" s="252"/>
      <c r="J116"/>
      <c r="K116"/>
      <c r="L116" s="185"/>
      <c r="M116"/>
      <c r="N116"/>
      <c r="O116"/>
      <c r="P116"/>
      <c r="Q116"/>
      <c r="R116"/>
      <c r="S116"/>
      <c r="T116" s="185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97"/>
      <c r="B117" s="185"/>
      <c r="C117" s="185"/>
      <c r="D117" s="185"/>
      <c r="E117" s="185"/>
      <c r="F117" s="185"/>
      <c r="G117"/>
      <c r="H117" s="185"/>
      <c r="I117" s="252"/>
      <c r="J117"/>
      <c r="K117"/>
      <c r="L117" s="185"/>
      <c r="M117"/>
      <c r="N117"/>
      <c r="O117"/>
      <c r="P117"/>
      <c r="Q117"/>
      <c r="R117"/>
      <c r="S117"/>
      <c r="T117" s="185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97"/>
      <c r="B118" s="185"/>
      <c r="C118" s="185"/>
      <c r="D118" s="185"/>
      <c r="E118" s="185"/>
      <c r="F118" s="185"/>
      <c r="G118"/>
      <c r="H118" s="185"/>
      <c r="I118" s="252"/>
      <c r="J118"/>
      <c r="K118"/>
      <c r="L118" s="185"/>
      <c r="M118"/>
      <c r="N118"/>
      <c r="O118"/>
      <c r="P118"/>
      <c r="Q118"/>
      <c r="R118"/>
      <c r="S118"/>
      <c r="T118" s="185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97"/>
      <c r="B119" s="185"/>
      <c r="C119" s="185"/>
      <c r="D119" s="185"/>
      <c r="E119" s="185"/>
      <c r="F119" s="185"/>
      <c r="G119"/>
      <c r="H119" s="185"/>
      <c r="I119" s="252"/>
      <c r="J119"/>
      <c r="K119"/>
      <c r="L119" s="185"/>
      <c r="M119"/>
      <c r="N119"/>
      <c r="O119"/>
      <c r="P119"/>
      <c r="Q119"/>
      <c r="R119"/>
      <c r="S119"/>
      <c r="T119" s="185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97"/>
      <c r="B120" s="185"/>
      <c r="C120" s="185"/>
      <c r="D120" s="185"/>
      <c r="E120" s="185"/>
      <c r="F120" s="185"/>
      <c r="G120"/>
      <c r="H120" s="185"/>
      <c r="I120" s="252"/>
      <c r="J120"/>
      <c r="K120"/>
      <c r="L120" s="185"/>
      <c r="M120"/>
      <c r="N120"/>
      <c r="O120"/>
      <c r="P120"/>
      <c r="Q120"/>
      <c r="R120"/>
      <c r="S120"/>
      <c r="T120" s="185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97"/>
      <c r="B121" s="185"/>
      <c r="C121" s="185"/>
      <c r="D121" s="185"/>
      <c r="E121" s="185"/>
      <c r="F121" s="185"/>
      <c r="G121"/>
      <c r="H121" s="185"/>
      <c r="I121" s="252"/>
      <c r="J121"/>
      <c r="K121"/>
      <c r="L121" s="185"/>
      <c r="M121"/>
      <c r="N121"/>
      <c r="O121"/>
      <c r="P121"/>
      <c r="Q121"/>
      <c r="R121"/>
      <c r="S121"/>
      <c r="T121" s="185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97"/>
      <c r="B122" s="185"/>
      <c r="C122" s="185"/>
      <c r="D122" s="185"/>
      <c r="E122" s="185"/>
      <c r="F122" s="185"/>
      <c r="G122"/>
      <c r="H122" s="185"/>
      <c r="I122" s="252"/>
      <c r="J122"/>
      <c r="K122"/>
      <c r="L122" s="185"/>
      <c r="M122"/>
      <c r="N122"/>
      <c r="O122"/>
      <c r="P122"/>
      <c r="Q122"/>
      <c r="R122"/>
      <c r="S122"/>
      <c r="T122" s="185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97"/>
      <c r="B123" s="185"/>
      <c r="C123" s="185"/>
      <c r="D123" s="185"/>
      <c r="E123" s="185"/>
      <c r="F123" s="185"/>
      <c r="G123"/>
      <c r="H123" s="185"/>
      <c r="I123" s="252"/>
      <c r="J123"/>
      <c r="K123"/>
      <c r="L123" s="185"/>
      <c r="M123"/>
      <c r="N123"/>
      <c r="O123"/>
      <c r="P123"/>
      <c r="Q123"/>
      <c r="R123"/>
      <c r="S123"/>
      <c r="T123" s="185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97"/>
      <c r="B124" s="185"/>
      <c r="C124" s="185"/>
      <c r="D124" s="185"/>
      <c r="E124" s="185"/>
      <c r="F124" s="185"/>
      <c r="G124"/>
      <c r="H124" s="185"/>
      <c r="I124" s="252"/>
      <c r="J124"/>
      <c r="K124"/>
      <c r="L124" s="185"/>
      <c r="M124"/>
      <c r="N124"/>
      <c r="O124"/>
      <c r="P124"/>
      <c r="Q124"/>
      <c r="R124"/>
      <c r="S124"/>
      <c r="T124" s="185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97"/>
      <c r="B125" s="185"/>
      <c r="C125" s="185"/>
      <c r="D125" s="185"/>
      <c r="E125" s="185"/>
      <c r="F125" s="185"/>
      <c r="G125"/>
      <c r="H125" s="185"/>
      <c r="I125" s="252"/>
      <c r="J125"/>
      <c r="K125"/>
      <c r="L125" s="185"/>
      <c r="M125"/>
      <c r="N125"/>
      <c r="O125"/>
      <c r="P125"/>
      <c r="Q125"/>
      <c r="R125"/>
      <c r="S125"/>
      <c r="T125" s="18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97"/>
      <c r="B126" s="185"/>
      <c r="C126" s="185"/>
      <c r="D126" s="185"/>
      <c r="E126" s="185"/>
      <c r="F126" s="185"/>
      <c r="G126"/>
      <c r="H126" s="185"/>
      <c r="I126" s="252"/>
      <c r="J126"/>
      <c r="K126"/>
      <c r="L126" s="185"/>
      <c r="M126"/>
      <c r="N126"/>
      <c r="O126"/>
      <c r="P126"/>
      <c r="Q126"/>
      <c r="R126"/>
      <c r="S126"/>
      <c r="T126" s="185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97"/>
      <c r="B127" s="185"/>
      <c r="C127" s="185"/>
      <c r="D127" s="185"/>
      <c r="E127" s="185"/>
      <c r="F127" s="185"/>
      <c r="G127"/>
      <c r="H127" s="185"/>
      <c r="I127" s="252"/>
      <c r="J127"/>
      <c r="K127"/>
      <c r="L127" s="185"/>
      <c r="M127"/>
      <c r="N127"/>
      <c r="O127"/>
      <c r="P127"/>
      <c r="Q127"/>
      <c r="R127"/>
      <c r="S127"/>
      <c r="T127" s="185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97"/>
      <c r="B128" s="185"/>
      <c r="C128" s="185"/>
      <c r="D128" s="185"/>
      <c r="E128" s="185"/>
      <c r="F128" s="185"/>
      <c r="G128"/>
      <c r="H128" s="185"/>
      <c r="I128" s="252"/>
      <c r="J128"/>
      <c r="K128"/>
      <c r="L128" s="185"/>
      <c r="M128"/>
      <c r="N128"/>
      <c r="O128"/>
      <c r="P128"/>
      <c r="Q128"/>
      <c r="R128"/>
      <c r="S128"/>
      <c r="T128" s="185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</sheetData>
  <sheetProtection formatColumns="0" formatRows="0" insertRows="0" deleteRows="0" selectLockedCells="1"/>
  <dataConsolidate/>
  <mergeCells count="5">
    <mergeCell ref="Y32:Y40"/>
    <mergeCell ref="Y47:Y55"/>
    <mergeCell ref="AH27:AJ27"/>
    <mergeCell ref="Y27:AF27"/>
    <mergeCell ref="Y42:AF42"/>
  </mergeCells>
  <phoneticPr fontId="1" type="noConversion"/>
  <dataValidations xWindow="108" yWindow="607" count="3">
    <dataValidation type="whole" allowBlank="1" showInputMessage="1" showErrorMessage="1" sqref="F2:F20" xr:uid="{E5E7E485-40F5-42B6-9B4E-26D9786F831F}">
      <formula1>0</formula1>
      <formula2>1000000000000</formula2>
    </dataValidation>
    <dataValidation type="list" allowBlank="1" showInputMessage="1" showErrorMessage="1" sqref="B2:B20" xr:uid="{1EB97181-D42B-4C83-9BB0-E169C2386A24}">
      <formula1>IF(C2="",ItemList,B2)</formula1>
    </dataValidation>
    <dataValidation type="list" allowBlank="1" showInputMessage="1" showErrorMessage="1" sqref="C2:C20" xr:uid="{9D3282E0-5136-408B-9B5C-7314423721C8}">
      <formula1>OFFSET(Item,MATCH(B2,ItemColumn,0)-1,1,COUNTIF(ItemColumn,B2),1)</formula1>
    </dataValidation>
  </dataValidations>
  <pageMargins left="0.25" right="0.25" top="0.75" bottom="0.75" header="0.3" footer="0.3"/>
  <pageSetup paperSize="9" scale="91" fitToHeight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08" yWindow="607" count="4">
        <x14:dataValidation type="list" allowBlank="1" showInputMessage="1" showErrorMessage="1" xr:uid="{B02DEBDA-D4D0-4791-A06F-0DBF0B695923}">
          <x14:formula1>
            <xm:f>Data!$C$47:$C$48</xm:f>
          </x14:formula1>
          <xm:sqref>L2:L20</xm:sqref>
        </x14:dataValidation>
        <x14:dataValidation type="list" allowBlank="1" showInputMessage="1" showErrorMessage="1" xr:uid="{FE83D9B8-2E6F-406C-B169-FF9A9807686D}">
          <x14:formula1>
            <xm:f>Data!$F$9:$F$22</xm:f>
          </x14:formula1>
          <xm:sqref>E2:E20</xm:sqref>
        </x14:dataValidation>
        <x14:dataValidation type="list" allowBlank="1" showInputMessage="1" showErrorMessage="1" xr:uid="{3AF84F47-10EA-4AB9-99CE-8B43ADBBF50E}">
          <x14:formula1>
            <xm:f>Data!$D$2:$D$81</xm:f>
          </x14:formula1>
          <xm:sqref>D2:D20</xm:sqref>
        </x14:dataValidation>
        <x14:dataValidation type="list" allowBlank="1" showInputMessage="1" showErrorMessage="1" xr:uid="{805F5F86-D9B0-4274-B689-9FAE8955357F}">
          <x14:formula1>
            <xm:f>Data!$E$28:$E$71</xm:f>
          </x14:formula1>
          <xm:sqref>H2:H20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F25A-F9D1-49F3-AD51-90E1FF661728}">
  <dimension ref="A1:S39"/>
  <sheetViews>
    <sheetView topLeftCell="E7" workbookViewId="0">
      <selection activeCell="R2" sqref="R2:R38"/>
    </sheetView>
  </sheetViews>
  <sheetFormatPr defaultRowHeight="15" x14ac:dyDescent="0.25"/>
  <cols>
    <col min="1" max="1" width="17" customWidth="1"/>
    <col min="2" max="2" width="25.85546875" customWidth="1"/>
    <col min="3" max="3" width="7.28515625" customWidth="1"/>
    <col min="4" max="4" width="26.5703125" customWidth="1"/>
    <col min="5" max="5" width="17.42578125" customWidth="1"/>
    <col min="6" max="6" width="9.5703125" customWidth="1"/>
    <col min="7" max="7" width="21.28515625" customWidth="1"/>
    <col min="8" max="16" width="16.42578125" customWidth="1"/>
    <col min="17" max="17" width="19.140625" customWidth="1"/>
    <col min="18" max="19" width="21.85546875" customWidth="1"/>
  </cols>
  <sheetData>
    <row r="1" spans="1:19" ht="66" customHeight="1" thickBot="1" x14ac:dyDescent="0.3">
      <c r="A1" s="61" t="s">
        <v>473</v>
      </c>
      <c r="B1" s="62" t="s">
        <v>1</v>
      </c>
      <c r="C1" s="62" t="s">
        <v>424</v>
      </c>
      <c r="D1" s="62" t="s">
        <v>460</v>
      </c>
      <c r="E1" s="62" t="s">
        <v>464</v>
      </c>
      <c r="F1" s="62" t="s">
        <v>471</v>
      </c>
      <c r="G1" s="63" t="s">
        <v>472</v>
      </c>
      <c r="H1" s="62" t="s">
        <v>465</v>
      </c>
      <c r="I1" s="63" t="s">
        <v>488</v>
      </c>
      <c r="J1" s="63" t="s">
        <v>461</v>
      </c>
      <c r="K1" s="63" t="s">
        <v>462</v>
      </c>
      <c r="L1" s="63" t="s">
        <v>485</v>
      </c>
      <c r="M1" s="63" t="s">
        <v>486</v>
      </c>
      <c r="N1" s="63" t="s">
        <v>490</v>
      </c>
      <c r="O1" s="63" t="s">
        <v>463</v>
      </c>
      <c r="P1" s="63" t="s">
        <v>489</v>
      </c>
      <c r="Q1" s="63" t="s">
        <v>487</v>
      </c>
      <c r="R1" s="56" t="s">
        <v>382</v>
      </c>
      <c r="S1" s="56" t="s">
        <v>312</v>
      </c>
    </row>
    <row r="2" spans="1:19" ht="15.75" thickBot="1" x14ac:dyDescent="0.3">
      <c r="A2" s="352" t="s">
        <v>466</v>
      </c>
      <c r="B2" s="46" t="s">
        <v>405</v>
      </c>
      <c r="C2" s="46">
        <v>1</v>
      </c>
      <c r="D2" s="46" t="s">
        <v>552</v>
      </c>
      <c r="E2" s="53">
        <v>5565</v>
      </c>
      <c r="F2" s="50">
        <v>0.25</v>
      </c>
      <c r="G2" s="53">
        <f>(1-F2)*E2</f>
        <v>4173.75</v>
      </c>
      <c r="H2" s="54">
        <f>G2*3.77</f>
        <v>15735.0375</v>
      </c>
      <c r="I2" s="54">
        <f>1.3*H2</f>
        <v>20455.548750000002</v>
      </c>
      <c r="J2" s="54">
        <f t="shared" ref="J2:J38" si="0">0.1*I2</f>
        <v>2045.5548750000003</v>
      </c>
      <c r="K2" s="54">
        <f t="shared" ref="K2:K38" si="1">0.05*I2</f>
        <v>1022.7774375000001</v>
      </c>
      <c r="L2" s="54">
        <f t="shared" ref="L2:L38" si="2">SUM(I2:K2)</f>
        <v>23523.881062500004</v>
      </c>
      <c r="M2" s="54">
        <f>0.4*I2</f>
        <v>8182.2195000000011</v>
      </c>
      <c r="N2" s="54">
        <f>I2*C2</f>
        <v>20455.548750000002</v>
      </c>
      <c r="O2" s="54">
        <f t="shared" ref="O2:O11" si="3">SUM(L2:M2)</f>
        <v>31706.100562500003</v>
      </c>
      <c r="P2" s="54">
        <f t="shared" ref="P2:P38" si="4">O2*C2</f>
        <v>31706.100562500003</v>
      </c>
      <c r="Q2" s="356">
        <f>SUM(P2:P11)</f>
        <v>59786.455462499995</v>
      </c>
      <c r="R2" s="349">
        <f>SUM(Q2:Q38)</f>
        <v>59786.455462499995</v>
      </c>
      <c r="S2" s="346">
        <v>60</v>
      </c>
    </row>
    <row r="3" spans="1:19" ht="15.75" thickBot="1" x14ac:dyDescent="0.3">
      <c r="A3" s="353"/>
      <c r="B3" s="2" t="s">
        <v>370</v>
      </c>
      <c r="C3" s="2">
        <v>1</v>
      </c>
      <c r="D3" s="2" t="s">
        <v>479</v>
      </c>
      <c r="E3" s="51">
        <v>305</v>
      </c>
      <c r="F3" s="48">
        <v>0.25</v>
      </c>
      <c r="G3" s="51">
        <f t="shared" ref="G3:G38" si="5">(1-F3)*E3</f>
        <v>228.75</v>
      </c>
      <c r="H3" s="5">
        <f>G3*3.77</f>
        <v>862.38750000000005</v>
      </c>
      <c r="I3" s="5">
        <f t="shared" ref="I3:I38" si="6">1.3*H3</f>
        <v>1121.10375</v>
      </c>
      <c r="J3" s="5">
        <f t="shared" si="0"/>
        <v>112.110375</v>
      </c>
      <c r="K3" s="5">
        <f t="shared" si="1"/>
        <v>56.055187500000002</v>
      </c>
      <c r="L3" s="5">
        <f t="shared" si="2"/>
        <v>1289.2693125000001</v>
      </c>
      <c r="M3" s="54">
        <f t="shared" ref="M3:M37" si="7">0.4*I3</f>
        <v>448.44150000000002</v>
      </c>
      <c r="N3" s="5">
        <f t="shared" ref="N3:N38" si="8">I3*C3</f>
        <v>1121.10375</v>
      </c>
      <c r="O3" s="5">
        <f t="shared" si="3"/>
        <v>1737.7108125</v>
      </c>
      <c r="P3" s="5">
        <f t="shared" si="4"/>
        <v>1737.7108125</v>
      </c>
      <c r="Q3" s="357"/>
      <c r="R3" s="350"/>
      <c r="S3" s="347"/>
    </row>
    <row r="4" spans="1:19" ht="15.75" thickBot="1" x14ac:dyDescent="0.3">
      <c r="A4" s="353"/>
      <c r="B4" s="2" t="s">
        <v>369</v>
      </c>
      <c r="C4" s="2">
        <v>1</v>
      </c>
      <c r="D4" s="2" t="s">
        <v>669</v>
      </c>
      <c r="E4" s="51">
        <v>829</v>
      </c>
      <c r="F4" s="48">
        <v>0.25</v>
      </c>
      <c r="G4" s="51">
        <f t="shared" si="5"/>
        <v>621.75</v>
      </c>
      <c r="H4" s="5">
        <f t="shared" ref="H4:H10" si="9">G4*3.77</f>
        <v>2343.9974999999999</v>
      </c>
      <c r="I4" s="5">
        <f t="shared" si="6"/>
        <v>3047.1967500000001</v>
      </c>
      <c r="J4" s="5">
        <f t="shared" si="0"/>
        <v>304.719675</v>
      </c>
      <c r="K4" s="5">
        <f t="shared" si="1"/>
        <v>152.3598375</v>
      </c>
      <c r="L4" s="5">
        <f t="shared" si="2"/>
        <v>3504.2762625</v>
      </c>
      <c r="M4" s="54">
        <f t="shared" si="7"/>
        <v>1218.8787</v>
      </c>
      <c r="N4" s="5">
        <f t="shared" si="8"/>
        <v>3047.1967500000001</v>
      </c>
      <c r="O4" s="5">
        <f t="shared" si="3"/>
        <v>4723.1549624999998</v>
      </c>
      <c r="P4" s="5">
        <f t="shared" si="4"/>
        <v>4723.1549624999998</v>
      </c>
      <c r="Q4" s="357"/>
      <c r="R4" s="350"/>
      <c r="S4" s="347"/>
    </row>
    <row r="5" spans="1:19" ht="15.75" thickBot="1" x14ac:dyDescent="0.3">
      <c r="A5" s="353"/>
      <c r="B5" s="2" t="s">
        <v>371</v>
      </c>
      <c r="C5" s="2">
        <v>1</v>
      </c>
      <c r="D5" s="2" t="s">
        <v>476</v>
      </c>
      <c r="E5" s="51">
        <v>1735</v>
      </c>
      <c r="F5" s="48">
        <v>0.25</v>
      </c>
      <c r="G5" s="51">
        <f t="shared" si="5"/>
        <v>1301.25</v>
      </c>
      <c r="H5" s="5">
        <f t="shared" si="9"/>
        <v>4905.7124999999996</v>
      </c>
      <c r="I5" s="5">
        <f t="shared" si="6"/>
        <v>6377.4262499999995</v>
      </c>
      <c r="J5" s="5">
        <f t="shared" si="0"/>
        <v>637.74262499999998</v>
      </c>
      <c r="K5" s="5">
        <f t="shared" si="1"/>
        <v>318.87131249999999</v>
      </c>
      <c r="L5" s="5">
        <f t="shared" si="2"/>
        <v>7334.0401874999998</v>
      </c>
      <c r="M5" s="54">
        <f t="shared" si="7"/>
        <v>2550.9704999999999</v>
      </c>
      <c r="N5" s="5">
        <f t="shared" si="8"/>
        <v>6377.4262499999995</v>
      </c>
      <c r="O5" s="5">
        <f t="shared" si="3"/>
        <v>9885.0106875000001</v>
      </c>
      <c r="P5" s="5">
        <f t="shared" si="4"/>
        <v>9885.0106875000001</v>
      </c>
      <c r="Q5" s="357"/>
      <c r="R5" s="350"/>
      <c r="S5" s="347"/>
    </row>
    <row r="6" spans="1:19" ht="15.75" thickBot="1" x14ac:dyDescent="0.3">
      <c r="A6" s="353"/>
      <c r="B6" s="2" t="s">
        <v>670</v>
      </c>
      <c r="C6" s="2">
        <v>1</v>
      </c>
      <c r="D6" s="2" t="s">
        <v>478</v>
      </c>
      <c r="E6" s="51">
        <v>230</v>
      </c>
      <c r="F6" s="48">
        <v>0.25</v>
      </c>
      <c r="G6" s="51">
        <f t="shared" ref="G6" si="10">(1-F6)*E6</f>
        <v>172.5</v>
      </c>
      <c r="H6" s="5">
        <f>G6*3.77</f>
        <v>650.32500000000005</v>
      </c>
      <c r="I6" s="5">
        <f t="shared" ref="I6" si="11">1.3*H6</f>
        <v>845.42250000000013</v>
      </c>
      <c r="J6" s="5">
        <f t="shared" ref="J6" si="12">0.1*I6</f>
        <v>84.542250000000024</v>
      </c>
      <c r="K6" s="5">
        <f t="shared" ref="K6" si="13">0.05*I6</f>
        <v>42.271125000000012</v>
      </c>
      <c r="L6" s="5">
        <f t="shared" ref="L6" si="14">SUM(I6:K6)</f>
        <v>972.23587500000008</v>
      </c>
      <c r="M6" s="54">
        <f t="shared" si="7"/>
        <v>338.1690000000001</v>
      </c>
      <c r="N6" s="5">
        <f t="shared" ref="N6" si="15">I6*C6</f>
        <v>845.42250000000013</v>
      </c>
      <c r="O6" s="5">
        <f t="shared" ref="O6" si="16">SUM(L6:M6)</f>
        <v>1310.4048750000002</v>
      </c>
      <c r="P6" s="5">
        <f t="shared" ref="P6" si="17">O6*C6</f>
        <v>1310.4048750000002</v>
      </c>
      <c r="Q6" s="357"/>
      <c r="R6" s="350"/>
      <c r="S6" s="347"/>
    </row>
    <row r="7" spans="1:19" ht="15.75" thickBot="1" x14ac:dyDescent="0.3">
      <c r="A7" s="353"/>
      <c r="B7" s="2" t="s">
        <v>546</v>
      </c>
      <c r="C7" s="2">
        <v>1</v>
      </c>
      <c r="D7" s="2" t="s">
        <v>547</v>
      </c>
      <c r="E7" s="51">
        <v>15</v>
      </c>
      <c r="F7" s="48">
        <v>0</v>
      </c>
      <c r="G7" s="51">
        <f t="shared" si="5"/>
        <v>15</v>
      </c>
      <c r="H7" s="5">
        <f t="shared" si="9"/>
        <v>56.55</v>
      </c>
      <c r="I7" s="5">
        <f>1*H7</f>
        <v>56.55</v>
      </c>
      <c r="J7" s="5">
        <f t="shared" si="0"/>
        <v>5.6550000000000002</v>
      </c>
      <c r="K7" s="5">
        <f t="shared" si="1"/>
        <v>2.8275000000000001</v>
      </c>
      <c r="L7" s="5">
        <f t="shared" si="2"/>
        <v>65.032499999999999</v>
      </c>
      <c r="M7" s="54">
        <f t="shared" si="7"/>
        <v>22.62</v>
      </c>
      <c r="N7" s="5">
        <f t="shared" si="8"/>
        <v>56.55</v>
      </c>
      <c r="O7" s="5">
        <f t="shared" si="3"/>
        <v>87.652500000000003</v>
      </c>
      <c r="P7" s="5">
        <f t="shared" si="4"/>
        <v>87.652500000000003</v>
      </c>
      <c r="Q7" s="357"/>
      <c r="R7" s="350"/>
      <c r="S7" s="347"/>
    </row>
    <row r="8" spans="1:19" ht="15.75" thickBot="1" x14ac:dyDescent="0.3">
      <c r="A8" s="353"/>
      <c r="B8" s="2" t="s">
        <v>475</v>
      </c>
      <c r="C8" s="2">
        <v>11</v>
      </c>
      <c r="D8" s="2" t="s">
        <v>547</v>
      </c>
      <c r="E8" s="51">
        <v>15</v>
      </c>
      <c r="F8" s="48">
        <v>0</v>
      </c>
      <c r="G8" s="51">
        <f t="shared" si="5"/>
        <v>15</v>
      </c>
      <c r="H8" s="5">
        <f t="shared" si="9"/>
        <v>56.55</v>
      </c>
      <c r="I8" s="5">
        <f>1*H8</f>
        <v>56.55</v>
      </c>
      <c r="J8" s="5">
        <f t="shared" si="0"/>
        <v>5.6550000000000002</v>
      </c>
      <c r="K8" s="5">
        <f t="shared" si="1"/>
        <v>2.8275000000000001</v>
      </c>
      <c r="L8" s="5">
        <f t="shared" si="2"/>
        <v>65.032499999999999</v>
      </c>
      <c r="M8" s="54">
        <f t="shared" si="7"/>
        <v>22.62</v>
      </c>
      <c r="N8" s="5">
        <f t="shared" si="8"/>
        <v>622.04999999999995</v>
      </c>
      <c r="O8" s="5">
        <f t="shared" si="3"/>
        <v>87.652500000000003</v>
      </c>
      <c r="P8" s="5">
        <f t="shared" si="4"/>
        <v>964.17750000000001</v>
      </c>
      <c r="Q8" s="357"/>
      <c r="R8" s="350"/>
      <c r="S8" s="347"/>
    </row>
    <row r="9" spans="1:19" ht="15.75" thickBot="1" x14ac:dyDescent="0.3">
      <c r="A9" s="353"/>
      <c r="B9" s="2" t="s">
        <v>481</v>
      </c>
      <c r="C9" s="2">
        <v>1</v>
      </c>
      <c r="D9" s="2" t="s">
        <v>548</v>
      </c>
      <c r="E9" s="51">
        <v>1645</v>
      </c>
      <c r="F9" s="48">
        <v>0.25</v>
      </c>
      <c r="G9" s="51">
        <f t="shared" si="5"/>
        <v>1233.75</v>
      </c>
      <c r="H9" s="5">
        <f t="shared" si="9"/>
        <v>4651.2375000000002</v>
      </c>
      <c r="I9" s="5">
        <f t="shared" si="6"/>
        <v>6046.6087500000003</v>
      </c>
      <c r="J9" s="5">
        <f t="shared" si="0"/>
        <v>604.66087500000003</v>
      </c>
      <c r="K9" s="5">
        <f t="shared" si="1"/>
        <v>302.33043750000002</v>
      </c>
      <c r="L9" s="5">
        <f t="shared" si="2"/>
        <v>6953.6000625000006</v>
      </c>
      <c r="M9" s="54">
        <f t="shared" si="7"/>
        <v>2418.6435000000001</v>
      </c>
      <c r="N9" s="5">
        <f t="shared" si="8"/>
        <v>6046.6087500000003</v>
      </c>
      <c r="O9" s="5">
        <f t="shared" si="3"/>
        <v>9372.2435624999998</v>
      </c>
      <c r="P9" s="5">
        <f t="shared" si="4"/>
        <v>9372.2435624999998</v>
      </c>
      <c r="Q9" s="357"/>
      <c r="R9" s="350"/>
      <c r="S9" s="347"/>
    </row>
    <row r="10" spans="1:19" ht="15.75" thickBot="1" x14ac:dyDescent="0.3">
      <c r="A10" s="353"/>
      <c r="B10" s="2"/>
      <c r="C10" s="2"/>
      <c r="D10" s="2"/>
      <c r="E10" s="51"/>
      <c r="F10" s="48">
        <v>0.25</v>
      </c>
      <c r="G10" s="51">
        <f t="shared" si="5"/>
        <v>0</v>
      </c>
      <c r="H10" s="5">
        <f t="shared" si="9"/>
        <v>0</v>
      </c>
      <c r="I10" s="5">
        <f t="shared" si="6"/>
        <v>0</v>
      </c>
      <c r="J10" s="5">
        <f t="shared" si="0"/>
        <v>0</v>
      </c>
      <c r="K10" s="5">
        <f t="shared" si="1"/>
        <v>0</v>
      </c>
      <c r="L10" s="5">
        <f t="shared" si="2"/>
        <v>0</v>
      </c>
      <c r="M10" s="54">
        <f t="shared" si="7"/>
        <v>0</v>
      </c>
      <c r="N10" s="5">
        <f t="shared" si="8"/>
        <v>0</v>
      </c>
      <c r="O10" s="5">
        <f t="shared" si="3"/>
        <v>0</v>
      </c>
      <c r="P10" s="5">
        <f t="shared" si="4"/>
        <v>0</v>
      </c>
      <c r="Q10" s="357"/>
      <c r="R10" s="350"/>
      <c r="S10" s="347"/>
    </row>
    <row r="11" spans="1:19" ht="15.75" thickBot="1" x14ac:dyDescent="0.3">
      <c r="A11" s="354"/>
      <c r="B11" s="57"/>
      <c r="C11" s="57"/>
      <c r="D11" s="57"/>
      <c r="E11" s="58"/>
      <c r="F11" s="59">
        <v>0.25</v>
      </c>
      <c r="G11" s="58">
        <f t="shared" si="5"/>
        <v>0</v>
      </c>
      <c r="H11" s="60">
        <f>G11*3.77</f>
        <v>0</v>
      </c>
      <c r="I11" s="60">
        <f t="shared" si="6"/>
        <v>0</v>
      </c>
      <c r="J11" s="60">
        <f t="shared" si="0"/>
        <v>0</v>
      </c>
      <c r="K11" s="60">
        <f t="shared" si="1"/>
        <v>0</v>
      </c>
      <c r="L11" s="60">
        <f t="shared" si="2"/>
        <v>0</v>
      </c>
      <c r="M11" s="54">
        <f t="shared" si="7"/>
        <v>0</v>
      </c>
      <c r="N11" s="60">
        <f t="shared" si="8"/>
        <v>0</v>
      </c>
      <c r="O11" s="60">
        <f t="shared" si="3"/>
        <v>0</v>
      </c>
      <c r="P11" s="60">
        <f t="shared" si="4"/>
        <v>0</v>
      </c>
      <c r="Q11" s="358"/>
      <c r="R11" s="350"/>
      <c r="S11" s="347"/>
    </row>
    <row r="12" spans="1:19" ht="15.75" thickBot="1" x14ac:dyDescent="0.3">
      <c r="A12" s="352" t="s">
        <v>467</v>
      </c>
      <c r="B12" s="46"/>
      <c r="C12" s="46"/>
      <c r="D12" s="46"/>
      <c r="E12" s="53"/>
      <c r="F12" s="50">
        <v>0.25</v>
      </c>
      <c r="G12" s="53">
        <f>(1-F12)*E12</f>
        <v>0</v>
      </c>
      <c r="H12" s="54">
        <f>G12*3.77</f>
        <v>0</v>
      </c>
      <c r="I12" s="54">
        <f>1.3*H12</f>
        <v>0</v>
      </c>
      <c r="J12" s="54">
        <f t="shared" si="0"/>
        <v>0</v>
      </c>
      <c r="K12" s="54">
        <f t="shared" si="1"/>
        <v>0</v>
      </c>
      <c r="L12" s="54">
        <f t="shared" si="2"/>
        <v>0</v>
      </c>
      <c r="M12" s="54">
        <f t="shared" si="7"/>
        <v>0</v>
      </c>
      <c r="N12" s="54">
        <f t="shared" si="8"/>
        <v>0</v>
      </c>
      <c r="O12" s="54">
        <f t="shared" ref="O12:O38" si="18">SUM(L12:M12)</f>
        <v>0</v>
      </c>
      <c r="P12" s="54">
        <f t="shared" si="4"/>
        <v>0</v>
      </c>
      <c r="Q12" s="356">
        <f>SUM(P12:P20)</f>
        <v>0</v>
      </c>
      <c r="R12" s="350"/>
      <c r="S12" s="347"/>
    </row>
    <row r="13" spans="1:19" ht="15.75" thickBot="1" x14ac:dyDescent="0.3">
      <c r="A13" s="353"/>
      <c r="B13" s="2"/>
      <c r="C13" s="2"/>
      <c r="D13" s="2"/>
      <c r="E13" s="51"/>
      <c r="F13" s="48">
        <v>0.25</v>
      </c>
      <c r="G13" s="51">
        <f t="shared" si="5"/>
        <v>0</v>
      </c>
      <c r="H13" s="5">
        <f>G13*3.77</f>
        <v>0</v>
      </c>
      <c r="I13" s="5">
        <f t="shared" si="6"/>
        <v>0</v>
      </c>
      <c r="J13" s="5">
        <f t="shared" si="0"/>
        <v>0</v>
      </c>
      <c r="K13" s="5">
        <f t="shared" si="1"/>
        <v>0</v>
      </c>
      <c r="L13" s="5">
        <f t="shared" si="2"/>
        <v>0</v>
      </c>
      <c r="M13" s="54">
        <f t="shared" si="7"/>
        <v>0</v>
      </c>
      <c r="N13" s="5">
        <f t="shared" si="8"/>
        <v>0</v>
      </c>
      <c r="O13" s="5">
        <f t="shared" si="18"/>
        <v>0</v>
      </c>
      <c r="P13" s="5">
        <f t="shared" si="4"/>
        <v>0</v>
      </c>
      <c r="Q13" s="357"/>
      <c r="R13" s="350"/>
      <c r="S13" s="347"/>
    </row>
    <row r="14" spans="1:19" ht="15.75" thickBot="1" x14ac:dyDescent="0.3">
      <c r="A14" s="353"/>
      <c r="B14" s="2"/>
      <c r="C14" s="2"/>
      <c r="D14" s="2"/>
      <c r="E14" s="51"/>
      <c r="F14" s="48">
        <v>0.25</v>
      </c>
      <c r="G14" s="51">
        <f t="shared" si="5"/>
        <v>0</v>
      </c>
      <c r="H14" s="5">
        <f t="shared" ref="H14:H19" si="19">G14*3.77</f>
        <v>0</v>
      </c>
      <c r="I14" s="5">
        <f t="shared" si="6"/>
        <v>0</v>
      </c>
      <c r="J14" s="5">
        <f t="shared" si="0"/>
        <v>0</v>
      </c>
      <c r="K14" s="5">
        <f t="shared" si="1"/>
        <v>0</v>
      </c>
      <c r="L14" s="5">
        <f t="shared" si="2"/>
        <v>0</v>
      </c>
      <c r="M14" s="54">
        <f t="shared" si="7"/>
        <v>0</v>
      </c>
      <c r="N14" s="5">
        <f t="shared" si="8"/>
        <v>0</v>
      </c>
      <c r="O14" s="5">
        <f t="shared" si="18"/>
        <v>0</v>
      </c>
      <c r="P14" s="5">
        <f t="shared" si="4"/>
        <v>0</v>
      </c>
      <c r="Q14" s="357"/>
      <c r="R14" s="350"/>
      <c r="S14" s="347"/>
    </row>
    <row r="15" spans="1:19" ht="15.75" thickBot="1" x14ac:dyDescent="0.3">
      <c r="A15" s="353"/>
      <c r="B15" s="2"/>
      <c r="C15" s="2"/>
      <c r="D15" s="2"/>
      <c r="E15" s="51"/>
      <c r="F15" s="48">
        <v>0.25</v>
      </c>
      <c r="G15" s="51">
        <f t="shared" si="5"/>
        <v>0</v>
      </c>
      <c r="H15" s="5">
        <f t="shared" si="19"/>
        <v>0</v>
      </c>
      <c r="I15" s="5">
        <f t="shared" si="6"/>
        <v>0</v>
      </c>
      <c r="J15" s="5">
        <f t="shared" si="0"/>
        <v>0</v>
      </c>
      <c r="K15" s="5">
        <f t="shared" si="1"/>
        <v>0</v>
      </c>
      <c r="L15" s="5">
        <f t="shared" si="2"/>
        <v>0</v>
      </c>
      <c r="M15" s="54">
        <f t="shared" si="7"/>
        <v>0</v>
      </c>
      <c r="N15" s="5">
        <f t="shared" si="8"/>
        <v>0</v>
      </c>
      <c r="O15" s="5">
        <f t="shared" si="18"/>
        <v>0</v>
      </c>
      <c r="P15" s="5">
        <f t="shared" si="4"/>
        <v>0</v>
      </c>
      <c r="Q15" s="357"/>
      <c r="R15" s="350"/>
      <c r="S15" s="347"/>
    </row>
    <row r="16" spans="1:19" ht="15.75" thickBot="1" x14ac:dyDescent="0.3">
      <c r="A16" s="353"/>
      <c r="B16" s="2"/>
      <c r="C16" s="2"/>
      <c r="D16" s="2"/>
      <c r="E16" s="51"/>
      <c r="F16" s="48">
        <v>0.25</v>
      </c>
      <c r="G16" s="51">
        <f t="shared" si="5"/>
        <v>0</v>
      </c>
      <c r="H16" s="5">
        <f t="shared" si="19"/>
        <v>0</v>
      </c>
      <c r="I16" s="5">
        <f t="shared" si="6"/>
        <v>0</v>
      </c>
      <c r="J16" s="5">
        <f t="shared" si="0"/>
        <v>0</v>
      </c>
      <c r="K16" s="5">
        <f t="shared" si="1"/>
        <v>0</v>
      </c>
      <c r="L16" s="5">
        <f t="shared" si="2"/>
        <v>0</v>
      </c>
      <c r="M16" s="54">
        <f t="shared" si="7"/>
        <v>0</v>
      </c>
      <c r="N16" s="5">
        <f t="shared" si="8"/>
        <v>0</v>
      </c>
      <c r="O16" s="5">
        <f t="shared" si="18"/>
        <v>0</v>
      </c>
      <c r="P16" s="5">
        <f t="shared" si="4"/>
        <v>0</v>
      </c>
      <c r="Q16" s="357"/>
      <c r="R16" s="350"/>
      <c r="S16" s="347"/>
    </row>
    <row r="17" spans="1:19" ht="15.75" thickBot="1" x14ac:dyDescent="0.3">
      <c r="A17" s="353"/>
      <c r="B17" s="2"/>
      <c r="C17" s="2"/>
      <c r="D17" s="2"/>
      <c r="E17" s="51"/>
      <c r="F17" s="48">
        <v>0.25</v>
      </c>
      <c r="G17" s="51">
        <f t="shared" si="5"/>
        <v>0</v>
      </c>
      <c r="H17" s="5">
        <f t="shared" si="19"/>
        <v>0</v>
      </c>
      <c r="I17" s="5">
        <f t="shared" si="6"/>
        <v>0</v>
      </c>
      <c r="J17" s="5">
        <f t="shared" si="0"/>
        <v>0</v>
      </c>
      <c r="K17" s="5">
        <f t="shared" si="1"/>
        <v>0</v>
      </c>
      <c r="L17" s="5">
        <f t="shared" si="2"/>
        <v>0</v>
      </c>
      <c r="M17" s="54">
        <f t="shared" si="7"/>
        <v>0</v>
      </c>
      <c r="N17" s="5">
        <f t="shared" si="8"/>
        <v>0</v>
      </c>
      <c r="O17" s="5">
        <f t="shared" si="18"/>
        <v>0</v>
      </c>
      <c r="P17" s="5">
        <f t="shared" si="4"/>
        <v>0</v>
      </c>
      <c r="Q17" s="357"/>
      <c r="R17" s="350"/>
      <c r="S17" s="347"/>
    </row>
    <row r="18" spans="1:19" ht="15.75" thickBot="1" x14ac:dyDescent="0.3">
      <c r="A18" s="353"/>
      <c r="B18" s="2"/>
      <c r="C18" s="2"/>
      <c r="D18" s="2"/>
      <c r="E18" s="51"/>
      <c r="F18" s="48">
        <v>0.25</v>
      </c>
      <c r="G18" s="51">
        <f t="shared" si="5"/>
        <v>0</v>
      </c>
      <c r="H18" s="5">
        <f t="shared" si="19"/>
        <v>0</v>
      </c>
      <c r="I18" s="5">
        <f t="shared" si="6"/>
        <v>0</v>
      </c>
      <c r="J18" s="5">
        <f t="shared" si="0"/>
        <v>0</v>
      </c>
      <c r="K18" s="5">
        <f t="shared" si="1"/>
        <v>0</v>
      </c>
      <c r="L18" s="5">
        <f t="shared" si="2"/>
        <v>0</v>
      </c>
      <c r="M18" s="54">
        <f t="shared" si="7"/>
        <v>0</v>
      </c>
      <c r="N18" s="5">
        <f t="shared" si="8"/>
        <v>0</v>
      </c>
      <c r="O18" s="5">
        <f t="shared" si="18"/>
        <v>0</v>
      </c>
      <c r="P18" s="5">
        <f t="shared" si="4"/>
        <v>0</v>
      </c>
      <c r="Q18" s="357"/>
      <c r="R18" s="350"/>
      <c r="S18" s="347"/>
    </row>
    <row r="19" spans="1:19" ht="15.75" thickBot="1" x14ac:dyDescent="0.3">
      <c r="A19" s="353"/>
      <c r="B19" s="2"/>
      <c r="C19" s="2"/>
      <c r="D19" s="2"/>
      <c r="E19" s="51"/>
      <c r="F19" s="48">
        <v>0.25</v>
      </c>
      <c r="G19" s="51">
        <f t="shared" si="5"/>
        <v>0</v>
      </c>
      <c r="H19" s="5">
        <f t="shared" si="19"/>
        <v>0</v>
      </c>
      <c r="I19" s="5">
        <f t="shared" si="6"/>
        <v>0</v>
      </c>
      <c r="J19" s="5">
        <f t="shared" si="0"/>
        <v>0</v>
      </c>
      <c r="K19" s="5">
        <f t="shared" si="1"/>
        <v>0</v>
      </c>
      <c r="L19" s="5">
        <f t="shared" si="2"/>
        <v>0</v>
      </c>
      <c r="M19" s="54">
        <f t="shared" si="7"/>
        <v>0</v>
      </c>
      <c r="N19" s="5">
        <f t="shared" si="8"/>
        <v>0</v>
      </c>
      <c r="O19" s="5">
        <f t="shared" si="18"/>
        <v>0</v>
      </c>
      <c r="P19" s="5">
        <f t="shared" si="4"/>
        <v>0</v>
      </c>
      <c r="Q19" s="357"/>
      <c r="R19" s="350"/>
      <c r="S19" s="347"/>
    </row>
    <row r="20" spans="1:19" ht="15.75" thickBot="1" x14ac:dyDescent="0.3">
      <c r="A20" s="354"/>
      <c r="B20" s="57"/>
      <c r="C20" s="57"/>
      <c r="D20" s="57"/>
      <c r="E20" s="58"/>
      <c r="F20" s="59">
        <v>0.25</v>
      </c>
      <c r="G20" s="58">
        <f t="shared" si="5"/>
        <v>0</v>
      </c>
      <c r="H20" s="60">
        <f>G20*3.77</f>
        <v>0</v>
      </c>
      <c r="I20" s="60">
        <f t="shared" si="6"/>
        <v>0</v>
      </c>
      <c r="J20" s="60">
        <f t="shared" si="0"/>
        <v>0</v>
      </c>
      <c r="K20" s="60">
        <f t="shared" si="1"/>
        <v>0</v>
      </c>
      <c r="L20" s="60">
        <f t="shared" si="2"/>
        <v>0</v>
      </c>
      <c r="M20" s="54">
        <f t="shared" si="7"/>
        <v>0</v>
      </c>
      <c r="N20" s="60">
        <f t="shared" si="8"/>
        <v>0</v>
      </c>
      <c r="O20" s="60">
        <f t="shared" si="18"/>
        <v>0</v>
      </c>
      <c r="P20" s="60">
        <f t="shared" si="4"/>
        <v>0</v>
      </c>
      <c r="Q20" s="358"/>
      <c r="R20" s="350"/>
      <c r="S20" s="347"/>
    </row>
    <row r="21" spans="1:19" ht="15.75" thickBot="1" x14ac:dyDescent="0.3">
      <c r="A21" s="352" t="s">
        <v>468</v>
      </c>
      <c r="B21" s="46" t="s">
        <v>405</v>
      </c>
      <c r="C21" s="46">
        <v>0</v>
      </c>
      <c r="D21" s="46" t="s">
        <v>470</v>
      </c>
      <c r="E21" s="53">
        <v>3120</v>
      </c>
      <c r="F21" s="50">
        <v>0.25</v>
      </c>
      <c r="G21" s="53">
        <f>(1-F21)*E21</f>
        <v>2340</v>
      </c>
      <c r="H21" s="54">
        <f>G21*3.77</f>
        <v>8821.7999999999993</v>
      </c>
      <c r="I21" s="54">
        <f>1.3*H21</f>
        <v>11468.34</v>
      </c>
      <c r="J21" s="54">
        <f t="shared" si="0"/>
        <v>1146.8340000000001</v>
      </c>
      <c r="K21" s="54">
        <f t="shared" si="1"/>
        <v>573.41700000000003</v>
      </c>
      <c r="L21" s="54">
        <f t="shared" si="2"/>
        <v>13188.591</v>
      </c>
      <c r="M21" s="54">
        <f t="shared" si="7"/>
        <v>4587.3360000000002</v>
      </c>
      <c r="N21" s="54">
        <f t="shared" si="8"/>
        <v>0</v>
      </c>
      <c r="O21" s="54">
        <f t="shared" si="18"/>
        <v>17775.927</v>
      </c>
      <c r="P21" s="54">
        <f t="shared" si="4"/>
        <v>0</v>
      </c>
      <c r="Q21" s="356">
        <f>SUM(P21:P29)</f>
        <v>0</v>
      </c>
      <c r="R21" s="350"/>
      <c r="S21" s="347"/>
    </row>
    <row r="22" spans="1:19" ht="15.75" thickBot="1" x14ac:dyDescent="0.3">
      <c r="A22" s="353"/>
      <c r="B22" s="2" t="s">
        <v>370</v>
      </c>
      <c r="C22" s="2">
        <v>0</v>
      </c>
      <c r="D22" s="2" t="s">
        <v>479</v>
      </c>
      <c r="E22" s="51">
        <v>295</v>
      </c>
      <c r="F22" s="48">
        <v>0.25</v>
      </c>
      <c r="G22" s="51">
        <f t="shared" si="5"/>
        <v>221.25</v>
      </c>
      <c r="H22" s="5">
        <f>G22*3.77</f>
        <v>834.11249999999995</v>
      </c>
      <c r="I22" s="5">
        <f t="shared" si="6"/>
        <v>1084.3462500000001</v>
      </c>
      <c r="J22" s="5">
        <f t="shared" si="0"/>
        <v>108.43462500000001</v>
      </c>
      <c r="K22" s="5">
        <f t="shared" si="1"/>
        <v>54.217312500000006</v>
      </c>
      <c r="L22" s="5">
        <f t="shared" si="2"/>
        <v>1246.9981875000001</v>
      </c>
      <c r="M22" s="54">
        <f t="shared" si="7"/>
        <v>433.73850000000004</v>
      </c>
      <c r="N22" s="5">
        <f t="shared" si="8"/>
        <v>0</v>
      </c>
      <c r="O22" s="5">
        <f t="shared" si="18"/>
        <v>1680.7366875000002</v>
      </c>
      <c r="P22" s="5">
        <f t="shared" si="4"/>
        <v>0</v>
      </c>
      <c r="Q22" s="357"/>
      <c r="R22" s="350"/>
      <c r="S22" s="347"/>
    </row>
    <row r="23" spans="1:19" ht="15.75" thickBot="1" x14ac:dyDescent="0.3">
      <c r="A23" s="353"/>
      <c r="B23" s="2" t="s">
        <v>369</v>
      </c>
      <c r="C23" s="2">
        <v>0</v>
      </c>
      <c r="D23" s="2" t="s">
        <v>477</v>
      </c>
      <c r="E23" s="51">
        <v>732</v>
      </c>
      <c r="F23" s="48">
        <v>0.25</v>
      </c>
      <c r="G23" s="51">
        <f t="shared" si="5"/>
        <v>549</v>
      </c>
      <c r="H23" s="5">
        <f t="shared" ref="H23:H28" si="20">G23*3.77</f>
        <v>2069.73</v>
      </c>
      <c r="I23" s="5">
        <f t="shared" si="6"/>
        <v>2690.6490000000003</v>
      </c>
      <c r="J23" s="5">
        <f t="shared" si="0"/>
        <v>269.06490000000002</v>
      </c>
      <c r="K23" s="5">
        <f t="shared" si="1"/>
        <v>134.53245000000001</v>
      </c>
      <c r="L23" s="5">
        <f t="shared" si="2"/>
        <v>3094.2463500000003</v>
      </c>
      <c r="M23" s="54">
        <f t="shared" si="7"/>
        <v>1076.2596000000001</v>
      </c>
      <c r="N23" s="5">
        <f t="shared" si="8"/>
        <v>0</v>
      </c>
      <c r="O23" s="5">
        <f t="shared" si="18"/>
        <v>4170.5059500000007</v>
      </c>
      <c r="P23" s="5">
        <f t="shared" si="4"/>
        <v>0</v>
      </c>
      <c r="Q23" s="357"/>
      <c r="R23" s="350"/>
      <c r="S23" s="347"/>
    </row>
    <row r="24" spans="1:19" ht="15.75" thickBot="1" x14ac:dyDescent="0.3">
      <c r="A24" s="353"/>
      <c r="B24" s="2" t="s">
        <v>371</v>
      </c>
      <c r="C24" s="2">
        <v>0</v>
      </c>
      <c r="D24" s="2" t="s">
        <v>476</v>
      </c>
      <c r="E24" s="51">
        <v>1670</v>
      </c>
      <c r="F24" s="48">
        <v>0.25</v>
      </c>
      <c r="G24" s="51">
        <f t="shared" si="5"/>
        <v>1252.5</v>
      </c>
      <c r="H24" s="5">
        <f t="shared" si="20"/>
        <v>4721.9250000000002</v>
      </c>
      <c r="I24" s="5">
        <f t="shared" si="6"/>
        <v>6138.5025000000005</v>
      </c>
      <c r="J24" s="5">
        <f t="shared" si="0"/>
        <v>613.85025000000007</v>
      </c>
      <c r="K24" s="5">
        <f t="shared" si="1"/>
        <v>306.92512500000004</v>
      </c>
      <c r="L24" s="5">
        <f t="shared" si="2"/>
        <v>7059.2778750000007</v>
      </c>
      <c r="M24" s="54">
        <f t="shared" si="7"/>
        <v>2455.4010000000003</v>
      </c>
      <c r="N24" s="5">
        <f t="shared" si="8"/>
        <v>0</v>
      </c>
      <c r="O24" s="5">
        <f t="shared" si="18"/>
        <v>9514.6788750000014</v>
      </c>
      <c r="P24" s="5">
        <f t="shared" si="4"/>
        <v>0</v>
      </c>
      <c r="Q24" s="357"/>
      <c r="R24" s="350"/>
      <c r="S24" s="347"/>
    </row>
    <row r="25" spans="1:19" ht="15.75" thickBot="1" x14ac:dyDescent="0.3">
      <c r="A25" s="353"/>
      <c r="B25" s="2" t="s">
        <v>474</v>
      </c>
      <c r="C25" s="2">
        <v>0</v>
      </c>
      <c r="D25" s="2" t="s">
        <v>478</v>
      </c>
      <c r="E25" s="51">
        <v>150</v>
      </c>
      <c r="F25" s="48">
        <v>0.25</v>
      </c>
      <c r="G25" s="51">
        <f t="shared" si="5"/>
        <v>112.5</v>
      </c>
      <c r="H25" s="5">
        <f t="shared" si="20"/>
        <v>424.125</v>
      </c>
      <c r="I25" s="5">
        <f t="shared" si="6"/>
        <v>551.36250000000007</v>
      </c>
      <c r="J25" s="5">
        <f t="shared" si="0"/>
        <v>55.136250000000011</v>
      </c>
      <c r="K25" s="5">
        <f t="shared" si="1"/>
        <v>27.568125000000006</v>
      </c>
      <c r="L25" s="5">
        <f t="shared" si="2"/>
        <v>634.0668750000001</v>
      </c>
      <c r="M25" s="54">
        <f t="shared" si="7"/>
        <v>220.54500000000004</v>
      </c>
      <c r="N25" s="5">
        <f t="shared" si="8"/>
        <v>0</v>
      </c>
      <c r="O25" s="5">
        <f t="shared" si="18"/>
        <v>854.61187500000017</v>
      </c>
      <c r="P25" s="5">
        <f t="shared" si="4"/>
        <v>0</v>
      </c>
      <c r="Q25" s="357"/>
      <c r="R25" s="350"/>
      <c r="S25" s="347"/>
    </row>
    <row r="26" spans="1:19" ht="15.75" thickBot="1" x14ac:dyDescent="0.3">
      <c r="A26" s="353"/>
      <c r="B26" s="2" t="s">
        <v>475</v>
      </c>
      <c r="C26" s="2">
        <v>0</v>
      </c>
      <c r="D26" s="2" t="s">
        <v>478</v>
      </c>
      <c r="E26" s="51">
        <v>150</v>
      </c>
      <c r="F26" s="48">
        <v>0.25</v>
      </c>
      <c r="G26" s="51">
        <f t="shared" si="5"/>
        <v>112.5</v>
      </c>
      <c r="H26" s="5">
        <f t="shared" si="20"/>
        <v>424.125</v>
      </c>
      <c r="I26" s="5">
        <f t="shared" si="6"/>
        <v>551.36250000000007</v>
      </c>
      <c r="J26" s="5">
        <f t="shared" si="0"/>
        <v>55.136250000000011</v>
      </c>
      <c r="K26" s="5">
        <f t="shared" si="1"/>
        <v>27.568125000000006</v>
      </c>
      <c r="L26" s="5">
        <f t="shared" si="2"/>
        <v>634.0668750000001</v>
      </c>
      <c r="M26" s="54">
        <f t="shared" si="7"/>
        <v>220.54500000000004</v>
      </c>
      <c r="N26" s="5">
        <f t="shared" si="8"/>
        <v>0</v>
      </c>
      <c r="O26" s="5">
        <f t="shared" si="18"/>
        <v>854.61187500000017</v>
      </c>
      <c r="P26" s="5">
        <f t="shared" si="4"/>
        <v>0</v>
      </c>
      <c r="Q26" s="357"/>
      <c r="R26" s="350"/>
      <c r="S26" s="347"/>
    </row>
    <row r="27" spans="1:19" ht="15.75" thickBot="1" x14ac:dyDescent="0.3">
      <c r="A27" s="353"/>
      <c r="B27" s="2" t="s">
        <v>481</v>
      </c>
      <c r="C27" s="2">
        <v>0</v>
      </c>
      <c r="D27" s="2" t="s">
        <v>480</v>
      </c>
      <c r="E27" s="51">
        <v>1580</v>
      </c>
      <c r="F27" s="48">
        <v>0.25</v>
      </c>
      <c r="G27" s="51">
        <f t="shared" si="5"/>
        <v>1185</v>
      </c>
      <c r="H27" s="5">
        <f t="shared" si="20"/>
        <v>4467.45</v>
      </c>
      <c r="I27" s="5">
        <f t="shared" si="6"/>
        <v>5807.6850000000004</v>
      </c>
      <c r="J27" s="5">
        <f t="shared" si="0"/>
        <v>580.76850000000002</v>
      </c>
      <c r="K27" s="5">
        <f t="shared" si="1"/>
        <v>290.38425000000001</v>
      </c>
      <c r="L27" s="5">
        <f t="shared" si="2"/>
        <v>6678.8377500000006</v>
      </c>
      <c r="M27" s="54">
        <f t="shared" si="7"/>
        <v>2323.0740000000001</v>
      </c>
      <c r="N27" s="5">
        <f t="shared" si="8"/>
        <v>0</v>
      </c>
      <c r="O27" s="5">
        <f t="shared" si="18"/>
        <v>9001.9117500000011</v>
      </c>
      <c r="P27" s="5">
        <f t="shared" si="4"/>
        <v>0</v>
      </c>
      <c r="Q27" s="357"/>
      <c r="R27" s="350"/>
      <c r="S27" s="347"/>
    </row>
    <row r="28" spans="1:19" ht="15.75" thickBot="1" x14ac:dyDescent="0.3">
      <c r="A28" s="353"/>
      <c r="B28" s="2"/>
      <c r="C28" s="2"/>
      <c r="D28" s="2"/>
      <c r="E28" s="51"/>
      <c r="F28" s="48">
        <v>0.25</v>
      </c>
      <c r="G28" s="51">
        <f t="shared" si="5"/>
        <v>0</v>
      </c>
      <c r="H28" s="5">
        <f t="shared" si="20"/>
        <v>0</v>
      </c>
      <c r="I28" s="5">
        <f t="shared" si="6"/>
        <v>0</v>
      </c>
      <c r="J28" s="5">
        <f t="shared" si="0"/>
        <v>0</v>
      </c>
      <c r="K28" s="5">
        <f t="shared" si="1"/>
        <v>0</v>
      </c>
      <c r="L28" s="5">
        <f t="shared" si="2"/>
        <v>0</v>
      </c>
      <c r="M28" s="54">
        <f t="shared" si="7"/>
        <v>0</v>
      </c>
      <c r="N28" s="5">
        <f t="shared" si="8"/>
        <v>0</v>
      </c>
      <c r="O28" s="5">
        <f t="shared" si="18"/>
        <v>0</v>
      </c>
      <c r="P28" s="5">
        <f t="shared" si="4"/>
        <v>0</v>
      </c>
      <c r="Q28" s="357"/>
      <c r="R28" s="350"/>
      <c r="S28" s="347"/>
    </row>
    <row r="29" spans="1:19" ht="15.75" thickBot="1" x14ac:dyDescent="0.3">
      <c r="A29" s="354"/>
      <c r="B29" s="57"/>
      <c r="C29" s="57"/>
      <c r="D29" s="57"/>
      <c r="E29" s="58"/>
      <c r="F29" s="59">
        <v>0.25</v>
      </c>
      <c r="G29" s="58">
        <f t="shared" si="5"/>
        <v>0</v>
      </c>
      <c r="H29" s="60">
        <f>G29*3.77</f>
        <v>0</v>
      </c>
      <c r="I29" s="60">
        <f t="shared" si="6"/>
        <v>0</v>
      </c>
      <c r="J29" s="60">
        <f t="shared" si="0"/>
        <v>0</v>
      </c>
      <c r="K29" s="60">
        <f t="shared" si="1"/>
        <v>0</v>
      </c>
      <c r="L29" s="60">
        <f t="shared" si="2"/>
        <v>0</v>
      </c>
      <c r="M29" s="54">
        <f t="shared" si="7"/>
        <v>0</v>
      </c>
      <c r="N29" s="60">
        <f t="shared" si="8"/>
        <v>0</v>
      </c>
      <c r="O29" s="60">
        <f t="shared" si="18"/>
        <v>0</v>
      </c>
      <c r="P29" s="60">
        <f t="shared" si="4"/>
        <v>0</v>
      </c>
      <c r="Q29" s="358"/>
      <c r="R29" s="350"/>
      <c r="S29" s="347"/>
    </row>
    <row r="30" spans="1:19" ht="15.75" thickBot="1" x14ac:dyDescent="0.3">
      <c r="A30" s="352" t="s">
        <v>469</v>
      </c>
      <c r="B30" s="46"/>
      <c r="C30" s="46"/>
      <c r="D30" s="46"/>
      <c r="E30" s="53"/>
      <c r="F30" s="50">
        <v>0.25</v>
      </c>
      <c r="G30" s="53">
        <f>(1-F30)*E30</f>
        <v>0</v>
      </c>
      <c r="H30" s="54">
        <f>G30*3.77</f>
        <v>0</v>
      </c>
      <c r="I30" s="54">
        <f>1.3*H30</f>
        <v>0</v>
      </c>
      <c r="J30" s="54">
        <f t="shared" si="0"/>
        <v>0</v>
      </c>
      <c r="K30" s="54">
        <f t="shared" si="1"/>
        <v>0</v>
      </c>
      <c r="L30" s="54">
        <f t="shared" si="2"/>
        <v>0</v>
      </c>
      <c r="M30" s="54">
        <f t="shared" si="7"/>
        <v>0</v>
      </c>
      <c r="N30" s="54">
        <f t="shared" si="8"/>
        <v>0</v>
      </c>
      <c r="O30" s="54">
        <f t="shared" si="18"/>
        <v>0</v>
      </c>
      <c r="P30" s="54">
        <f t="shared" si="4"/>
        <v>0</v>
      </c>
      <c r="Q30" s="356">
        <f>SUM(P30:P38)</f>
        <v>0</v>
      </c>
      <c r="R30" s="350"/>
      <c r="S30" s="347"/>
    </row>
    <row r="31" spans="1:19" ht="15.75" thickBot="1" x14ac:dyDescent="0.3">
      <c r="A31" s="353"/>
      <c r="B31" s="2"/>
      <c r="C31" s="2"/>
      <c r="D31" s="2"/>
      <c r="E31" s="51"/>
      <c r="F31" s="48">
        <v>0.25</v>
      </c>
      <c r="G31" s="51">
        <f t="shared" si="5"/>
        <v>0</v>
      </c>
      <c r="H31" s="5">
        <f>G31*3.77</f>
        <v>0</v>
      </c>
      <c r="I31" s="5">
        <f t="shared" si="6"/>
        <v>0</v>
      </c>
      <c r="J31" s="5">
        <f t="shared" si="0"/>
        <v>0</v>
      </c>
      <c r="K31" s="5">
        <f t="shared" si="1"/>
        <v>0</v>
      </c>
      <c r="L31" s="5">
        <f t="shared" si="2"/>
        <v>0</v>
      </c>
      <c r="M31" s="54">
        <f t="shared" si="7"/>
        <v>0</v>
      </c>
      <c r="N31" s="5">
        <f t="shared" si="8"/>
        <v>0</v>
      </c>
      <c r="O31" s="5">
        <f t="shared" si="18"/>
        <v>0</v>
      </c>
      <c r="P31" s="5">
        <f t="shared" si="4"/>
        <v>0</v>
      </c>
      <c r="Q31" s="357"/>
      <c r="R31" s="350"/>
      <c r="S31" s="347"/>
    </row>
    <row r="32" spans="1:19" ht="15.75" thickBot="1" x14ac:dyDescent="0.3">
      <c r="A32" s="353"/>
      <c r="B32" s="2"/>
      <c r="C32" s="2"/>
      <c r="D32" s="2"/>
      <c r="E32" s="51"/>
      <c r="F32" s="48">
        <v>0.25</v>
      </c>
      <c r="G32" s="51">
        <f t="shared" si="5"/>
        <v>0</v>
      </c>
      <c r="H32" s="5">
        <f t="shared" ref="H32:H37" si="21">G32*3.77</f>
        <v>0</v>
      </c>
      <c r="I32" s="5">
        <f t="shared" si="6"/>
        <v>0</v>
      </c>
      <c r="J32" s="5">
        <f t="shared" si="0"/>
        <v>0</v>
      </c>
      <c r="K32" s="5">
        <f t="shared" si="1"/>
        <v>0</v>
      </c>
      <c r="L32" s="5">
        <f t="shared" si="2"/>
        <v>0</v>
      </c>
      <c r="M32" s="54">
        <f t="shared" si="7"/>
        <v>0</v>
      </c>
      <c r="N32" s="5">
        <f t="shared" si="8"/>
        <v>0</v>
      </c>
      <c r="O32" s="5">
        <f t="shared" si="18"/>
        <v>0</v>
      </c>
      <c r="P32" s="5">
        <f t="shared" si="4"/>
        <v>0</v>
      </c>
      <c r="Q32" s="357"/>
      <c r="R32" s="350"/>
      <c r="S32" s="347"/>
    </row>
    <row r="33" spans="1:19" ht="15.75" thickBot="1" x14ac:dyDescent="0.3">
      <c r="A33" s="353"/>
      <c r="B33" s="2"/>
      <c r="C33" s="2"/>
      <c r="D33" s="2"/>
      <c r="E33" s="51"/>
      <c r="F33" s="48">
        <v>0.25</v>
      </c>
      <c r="G33" s="51">
        <f t="shared" si="5"/>
        <v>0</v>
      </c>
      <c r="H33" s="5">
        <f t="shared" si="21"/>
        <v>0</v>
      </c>
      <c r="I33" s="5">
        <f t="shared" si="6"/>
        <v>0</v>
      </c>
      <c r="J33" s="5">
        <f t="shared" si="0"/>
        <v>0</v>
      </c>
      <c r="K33" s="5">
        <f t="shared" si="1"/>
        <v>0</v>
      </c>
      <c r="L33" s="5">
        <f t="shared" si="2"/>
        <v>0</v>
      </c>
      <c r="M33" s="54">
        <f t="shared" si="7"/>
        <v>0</v>
      </c>
      <c r="N33" s="5">
        <f t="shared" si="8"/>
        <v>0</v>
      </c>
      <c r="O33" s="5">
        <f t="shared" si="18"/>
        <v>0</v>
      </c>
      <c r="P33" s="5">
        <f t="shared" si="4"/>
        <v>0</v>
      </c>
      <c r="Q33" s="357"/>
      <c r="R33" s="350"/>
      <c r="S33" s="347"/>
    </row>
    <row r="34" spans="1:19" ht="15.75" thickBot="1" x14ac:dyDescent="0.3">
      <c r="A34" s="353"/>
      <c r="B34" s="2"/>
      <c r="C34" s="2"/>
      <c r="D34" s="2"/>
      <c r="E34" s="51"/>
      <c r="F34" s="48">
        <v>0.25</v>
      </c>
      <c r="G34" s="51">
        <f t="shared" si="5"/>
        <v>0</v>
      </c>
      <c r="H34" s="5">
        <f t="shared" si="21"/>
        <v>0</v>
      </c>
      <c r="I34" s="5">
        <f t="shared" si="6"/>
        <v>0</v>
      </c>
      <c r="J34" s="5">
        <f t="shared" si="0"/>
        <v>0</v>
      </c>
      <c r="K34" s="5">
        <f t="shared" si="1"/>
        <v>0</v>
      </c>
      <c r="L34" s="5">
        <f t="shared" si="2"/>
        <v>0</v>
      </c>
      <c r="M34" s="54">
        <f t="shared" si="7"/>
        <v>0</v>
      </c>
      <c r="N34" s="5">
        <f t="shared" si="8"/>
        <v>0</v>
      </c>
      <c r="O34" s="5">
        <f t="shared" si="18"/>
        <v>0</v>
      </c>
      <c r="P34" s="5">
        <f t="shared" si="4"/>
        <v>0</v>
      </c>
      <c r="Q34" s="357"/>
      <c r="R34" s="350"/>
      <c r="S34" s="347"/>
    </row>
    <row r="35" spans="1:19" ht="15.75" thickBot="1" x14ac:dyDescent="0.3">
      <c r="A35" s="353"/>
      <c r="B35" s="2"/>
      <c r="C35" s="2"/>
      <c r="D35" s="2"/>
      <c r="E35" s="51"/>
      <c r="F35" s="48">
        <v>0.25</v>
      </c>
      <c r="G35" s="51">
        <f t="shared" si="5"/>
        <v>0</v>
      </c>
      <c r="H35" s="5">
        <f t="shared" si="21"/>
        <v>0</v>
      </c>
      <c r="I35" s="5">
        <f t="shared" si="6"/>
        <v>0</v>
      </c>
      <c r="J35" s="5">
        <f t="shared" si="0"/>
        <v>0</v>
      </c>
      <c r="K35" s="5">
        <f t="shared" si="1"/>
        <v>0</v>
      </c>
      <c r="L35" s="5">
        <f t="shared" si="2"/>
        <v>0</v>
      </c>
      <c r="M35" s="54">
        <f t="shared" si="7"/>
        <v>0</v>
      </c>
      <c r="N35" s="5">
        <f t="shared" si="8"/>
        <v>0</v>
      </c>
      <c r="O35" s="5">
        <f t="shared" si="18"/>
        <v>0</v>
      </c>
      <c r="P35" s="5">
        <f t="shared" si="4"/>
        <v>0</v>
      </c>
      <c r="Q35" s="357"/>
      <c r="R35" s="350"/>
      <c r="S35" s="347"/>
    </row>
    <row r="36" spans="1:19" ht="15.75" thickBot="1" x14ac:dyDescent="0.3">
      <c r="A36" s="353"/>
      <c r="B36" s="2"/>
      <c r="C36" s="2"/>
      <c r="D36" s="2"/>
      <c r="E36" s="51"/>
      <c r="F36" s="48">
        <v>0.25</v>
      </c>
      <c r="G36" s="51">
        <f t="shared" si="5"/>
        <v>0</v>
      </c>
      <c r="H36" s="5">
        <f t="shared" si="21"/>
        <v>0</v>
      </c>
      <c r="I36" s="5">
        <f t="shared" si="6"/>
        <v>0</v>
      </c>
      <c r="J36" s="5">
        <f t="shared" si="0"/>
        <v>0</v>
      </c>
      <c r="K36" s="5">
        <f t="shared" si="1"/>
        <v>0</v>
      </c>
      <c r="L36" s="5">
        <f t="shared" si="2"/>
        <v>0</v>
      </c>
      <c r="M36" s="54">
        <f t="shared" si="7"/>
        <v>0</v>
      </c>
      <c r="N36" s="5">
        <f t="shared" si="8"/>
        <v>0</v>
      </c>
      <c r="O36" s="5">
        <f t="shared" si="18"/>
        <v>0</v>
      </c>
      <c r="P36" s="5">
        <f t="shared" si="4"/>
        <v>0</v>
      </c>
      <c r="Q36" s="357"/>
      <c r="R36" s="350"/>
      <c r="S36" s="347"/>
    </row>
    <row r="37" spans="1:19" ht="15.75" thickBot="1" x14ac:dyDescent="0.3">
      <c r="A37" s="353"/>
      <c r="B37" s="2"/>
      <c r="C37" s="2"/>
      <c r="D37" s="2"/>
      <c r="E37" s="51"/>
      <c r="F37" s="48">
        <v>0.25</v>
      </c>
      <c r="G37" s="51">
        <f t="shared" si="5"/>
        <v>0</v>
      </c>
      <c r="H37" s="5">
        <f t="shared" si="21"/>
        <v>0</v>
      </c>
      <c r="I37" s="5">
        <f t="shared" si="6"/>
        <v>0</v>
      </c>
      <c r="J37" s="5">
        <f t="shared" si="0"/>
        <v>0</v>
      </c>
      <c r="K37" s="5">
        <f t="shared" si="1"/>
        <v>0</v>
      </c>
      <c r="L37" s="5">
        <f t="shared" si="2"/>
        <v>0</v>
      </c>
      <c r="M37" s="54">
        <f t="shared" si="7"/>
        <v>0</v>
      </c>
      <c r="N37" s="5">
        <f t="shared" si="8"/>
        <v>0</v>
      </c>
      <c r="O37" s="5">
        <f t="shared" si="18"/>
        <v>0</v>
      </c>
      <c r="P37" s="5">
        <f t="shared" si="4"/>
        <v>0</v>
      </c>
      <c r="Q37" s="357"/>
      <c r="R37" s="350"/>
      <c r="S37" s="347"/>
    </row>
    <row r="38" spans="1:19" ht="15.75" thickBot="1" x14ac:dyDescent="0.3">
      <c r="A38" s="355"/>
      <c r="B38" s="47"/>
      <c r="C38" s="47"/>
      <c r="D38" s="47"/>
      <c r="E38" s="52"/>
      <c r="F38" s="49">
        <v>0.25</v>
      </c>
      <c r="G38" s="52">
        <f t="shared" si="5"/>
        <v>0</v>
      </c>
      <c r="H38" s="55">
        <f>G38*3.77</f>
        <v>0</v>
      </c>
      <c r="I38" s="55">
        <f t="shared" si="6"/>
        <v>0</v>
      </c>
      <c r="J38" s="55">
        <f t="shared" si="0"/>
        <v>0</v>
      </c>
      <c r="K38" s="55">
        <f t="shared" si="1"/>
        <v>0</v>
      </c>
      <c r="L38" s="55">
        <f t="shared" si="2"/>
        <v>0</v>
      </c>
      <c r="M38" s="54">
        <f t="shared" ref="M38" si="22">0.5*I38</f>
        <v>0</v>
      </c>
      <c r="N38" s="55">
        <f t="shared" si="8"/>
        <v>0</v>
      </c>
      <c r="O38" s="55">
        <f t="shared" si="18"/>
        <v>0</v>
      </c>
      <c r="P38" s="55">
        <f t="shared" si="4"/>
        <v>0</v>
      </c>
      <c r="Q38" s="359"/>
      <c r="R38" s="351"/>
      <c r="S38" s="348"/>
    </row>
    <row r="39" spans="1:19" x14ac:dyDescent="0.25">
      <c r="N39" s="45">
        <f>SUM(N2:N38)</f>
        <v>38571.906750000002</v>
      </c>
    </row>
  </sheetData>
  <mergeCells count="10">
    <mergeCell ref="S2:S38"/>
    <mergeCell ref="R2:R38"/>
    <mergeCell ref="A2:A11"/>
    <mergeCell ref="A12:A20"/>
    <mergeCell ref="A21:A29"/>
    <mergeCell ref="A30:A38"/>
    <mergeCell ref="Q2:Q11"/>
    <mergeCell ref="Q12:Q20"/>
    <mergeCell ref="Q21:Q29"/>
    <mergeCell ref="Q30:Q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4B36A-3EC8-4EEB-BC21-99F9B34ACB4E}">
  <dimension ref="A1:AA96"/>
  <sheetViews>
    <sheetView zoomScale="85" zoomScaleNormal="85" workbookViewId="0">
      <selection activeCell="G5" sqref="G5"/>
    </sheetView>
  </sheetViews>
  <sheetFormatPr defaultRowHeight="15" x14ac:dyDescent="0.25"/>
  <cols>
    <col min="1" max="1" width="22.140625" style="1" customWidth="1"/>
    <col min="2" max="2" width="37.85546875" style="33" customWidth="1"/>
    <col min="3" max="3" width="6.42578125" style="1" customWidth="1"/>
    <col min="4" max="5" width="9.42578125" style="1" customWidth="1"/>
    <col min="6" max="6" width="9.7109375" style="1" customWidth="1"/>
    <col min="7" max="8" width="14.7109375" style="1" customWidth="1"/>
    <col min="9" max="11" width="15.28515625" customWidth="1"/>
    <col min="12" max="13" width="13" customWidth="1"/>
    <col min="14" max="22" width="14.140625" style="21" customWidth="1"/>
    <col min="23" max="23" width="14.140625" customWidth="1"/>
    <col min="24" max="24" width="18.28515625" customWidth="1"/>
    <col min="25" max="25" width="14.140625" customWidth="1"/>
    <col min="26" max="26" width="22" customWidth="1"/>
    <col min="27" max="27" width="24" customWidth="1"/>
  </cols>
  <sheetData>
    <row r="1" spans="1:26" ht="82.5" customHeight="1" x14ac:dyDescent="0.25">
      <c r="A1" s="39" t="s">
        <v>696</v>
      </c>
      <c r="B1" s="14" t="s">
        <v>1</v>
      </c>
      <c r="C1" s="10" t="s">
        <v>424</v>
      </c>
      <c r="D1" s="14" t="s">
        <v>403</v>
      </c>
      <c r="E1" s="20" t="s">
        <v>436</v>
      </c>
      <c r="F1" s="20" t="s">
        <v>410</v>
      </c>
      <c r="G1" s="20" t="s">
        <v>422</v>
      </c>
      <c r="H1" s="20"/>
      <c r="I1" s="362" t="s">
        <v>425</v>
      </c>
      <c r="J1" s="363"/>
      <c r="K1" s="364"/>
      <c r="L1" s="15" t="s">
        <v>762</v>
      </c>
      <c r="M1" s="30" t="s">
        <v>763</v>
      </c>
      <c r="N1" s="22" t="s">
        <v>776</v>
      </c>
      <c r="O1" s="22" t="s">
        <v>772</v>
      </c>
      <c r="P1" s="22" t="s">
        <v>771</v>
      </c>
      <c r="Q1" s="22" t="s">
        <v>771</v>
      </c>
      <c r="R1" s="22" t="s">
        <v>771</v>
      </c>
      <c r="S1" s="22" t="s">
        <v>777</v>
      </c>
      <c r="T1" s="22" t="s">
        <v>764</v>
      </c>
      <c r="U1" s="24" t="s">
        <v>404</v>
      </c>
      <c r="V1" s="15" t="s">
        <v>765</v>
      </c>
      <c r="W1" s="30" t="s">
        <v>766</v>
      </c>
      <c r="X1" s="22" t="s">
        <v>428</v>
      </c>
      <c r="Y1" s="24" t="s">
        <v>407</v>
      </c>
      <c r="Z1" s="14" t="s">
        <v>426</v>
      </c>
    </row>
    <row r="2" spans="1:26" ht="63" customHeight="1" x14ac:dyDescent="0.25">
      <c r="A2" s="39">
        <v>2</v>
      </c>
      <c r="B2" s="14"/>
      <c r="C2" s="10"/>
      <c r="D2" s="10"/>
      <c r="E2" s="10"/>
      <c r="F2" s="10"/>
      <c r="G2" s="10"/>
      <c r="H2" s="10" t="s">
        <v>430</v>
      </c>
      <c r="I2" s="14" t="s">
        <v>417</v>
      </c>
      <c r="J2" s="14" t="s">
        <v>418</v>
      </c>
      <c r="K2" s="14" t="s">
        <v>423</v>
      </c>
      <c r="L2" s="31">
        <v>1.5</v>
      </c>
      <c r="M2" s="31">
        <v>1.5</v>
      </c>
      <c r="N2" s="254" t="s">
        <v>773</v>
      </c>
      <c r="O2" s="254" t="s">
        <v>774</v>
      </c>
      <c r="P2" s="254" t="s">
        <v>773</v>
      </c>
      <c r="Q2" s="254" t="s">
        <v>774</v>
      </c>
      <c r="R2" s="254" t="s">
        <v>775</v>
      </c>
      <c r="S2" s="254">
        <v>1.5</v>
      </c>
      <c r="T2" s="254">
        <v>1.5</v>
      </c>
      <c r="U2" s="24"/>
      <c r="V2" s="15"/>
      <c r="W2" s="15"/>
      <c r="X2" s="23"/>
      <c r="Y2" s="25"/>
      <c r="Z2" s="9"/>
    </row>
    <row r="3" spans="1:26" ht="12.75" customHeight="1" x14ac:dyDescent="0.25">
      <c r="A3" s="10"/>
      <c r="B3" s="14"/>
      <c r="C3" s="10"/>
      <c r="D3" s="10"/>
      <c r="E3" s="10"/>
      <c r="F3" s="10"/>
      <c r="G3" s="10"/>
      <c r="H3" s="10"/>
      <c r="I3" s="14" t="s">
        <v>781</v>
      </c>
      <c r="J3" s="14" t="s">
        <v>782</v>
      </c>
      <c r="K3" s="14" t="s">
        <v>783</v>
      </c>
      <c r="L3" s="31"/>
      <c r="M3" s="31"/>
      <c r="N3" s="22"/>
      <c r="O3" s="22"/>
      <c r="P3" s="22"/>
      <c r="Q3" s="22"/>
      <c r="R3" s="22"/>
      <c r="S3" s="22"/>
      <c r="T3" s="22"/>
      <c r="U3" s="24"/>
      <c r="V3" s="15"/>
      <c r="W3" s="15"/>
      <c r="X3" s="23"/>
      <c r="Y3" s="25"/>
      <c r="Z3" s="9"/>
    </row>
    <row r="4" spans="1:26" ht="26.25" customHeight="1" x14ac:dyDescent="0.25">
      <c r="A4" s="10"/>
      <c r="B4" s="14"/>
      <c r="C4" s="10"/>
      <c r="D4" s="10"/>
      <c r="E4" s="10"/>
      <c r="F4" s="10"/>
      <c r="G4" s="10"/>
      <c r="H4" s="10"/>
      <c r="I4" s="40">
        <v>30</v>
      </c>
      <c r="J4" s="40">
        <v>100</v>
      </c>
      <c r="K4" s="40">
        <v>100</v>
      </c>
      <c r="L4" s="26"/>
      <c r="M4" s="26"/>
      <c r="N4" s="22"/>
      <c r="O4" s="22"/>
      <c r="P4" s="22"/>
      <c r="Q4" s="22"/>
      <c r="R4" s="22"/>
      <c r="S4" s="22"/>
      <c r="T4" s="22"/>
      <c r="U4" s="24"/>
      <c r="V4" s="15"/>
      <c r="W4" s="15"/>
      <c r="X4" s="23"/>
      <c r="Y4" s="25"/>
      <c r="Z4" s="9"/>
    </row>
    <row r="5" spans="1:26" ht="32.25" customHeight="1" x14ac:dyDescent="0.25">
      <c r="A5" s="2"/>
      <c r="B5" s="41" t="s">
        <v>21</v>
      </c>
      <c r="C5" s="39">
        <v>1</v>
      </c>
      <c r="D5" s="2">
        <f>IF(ISNA(VLOOKUP(B5,Data!$F$41:$J$69,2,FALSE)),0,VLOOKUP(B5,Data!$F$41:$J$69,2,FALSE))</f>
        <v>3</v>
      </c>
      <c r="E5" s="2">
        <f t="shared" ref="E5:E10" si="0">C5*D5</f>
        <v>3</v>
      </c>
      <c r="F5" s="2">
        <f>IF(ISNA(VLOOKUP(B5,Data!$F$41:$J$69,3,FALSE)),0,VLOOKUP(B5,Data!$F$41:$J$69,3,FALSE))</f>
        <v>2.5</v>
      </c>
      <c r="G5" s="2" t="str">
        <f>IF(ISNA(VLOOKUP(B5,Data!$F$41:$J$69,4,FALSE)),0,VLOOKUP(B5,Data!$F$41:$J$69,4,FALSE))</f>
        <v>Power</v>
      </c>
      <c r="H5" s="2" t="str">
        <f>IF(ISNA(VLOOKUP(B5,Data!$F$41:$L$69,6,FALSE)),0,VLOOKUP(B5,Data!$F$41:$L$69,6,FALSE))</f>
        <v>ST</v>
      </c>
      <c r="I5" s="2">
        <f>IF(H5="ST",$I$4,0)</f>
        <v>30</v>
      </c>
      <c r="J5" s="2">
        <f>IF(H5="DT",$J$4,0)</f>
        <v>0</v>
      </c>
      <c r="K5" s="2">
        <f>IF(H5="FP",$K$4,0)</f>
        <v>0</v>
      </c>
      <c r="L5" s="32">
        <f t="shared" ref="L5:L10" si="1">IF(G5="Power",0,(SUM(I5:K5)*1.5/305))*C5</f>
        <v>0</v>
      </c>
      <c r="M5" s="28">
        <f t="shared" ref="M5:M10" si="2">IF(G5="Signal",0,(SUM(I5:K5)*1.5))*C5</f>
        <v>45</v>
      </c>
      <c r="N5" s="16">
        <f>IF(AND(G5="Power",H5="ST"),1*C5,0)</f>
        <v>1</v>
      </c>
      <c r="O5" s="16">
        <f>IF(B5="Solenoid Valve Parker",CEILING(D5*C5/26,1),0)</f>
        <v>0</v>
      </c>
      <c r="P5" s="16">
        <f>IF(AND(G5="Signal",H5="ST"),CEILING(D5*C5/26,0.5),0)</f>
        <v>0</v>
      </c>
      <c r="Q5" s="16">
        <f>IF(AND(G5="Signal",H5="DT"),CEILING(D5*C5/26,0.5),0)</f>
        <v>0</v>
      </c>
      <c r="R5" s="16">
        <f>IF(AND(G5="Signal",H5="FP"),CEILING(D5*C5/26,0.5),0)</f>
        <v>0</v>
      </c>
      <c r="S5" s="16"/>
      <c r="T5" s="16"/>
      <c r="U5" s="27"/>
      <c r="V5" s="29"/>
      <c r="W5" s="29"/>
      <c r="X5" s="16"/>
      <c r="Y5" s="27"/>
      <c r="Z5" s="9"/>
    </row>
    <row r="6" spans="1:26" ht="32.25" customHeight="1" x14ac:dyDescent="0.25">
      <c r="A6" s="2"/>
      <c r="B6" s="41" t="s">
        <v>6</v>
      </c>
      <c r="C6" s="39">
        <v>0</v>
      </c>
      <c r="D6" s="2">
        <f>IF(ISNA(VLOOKUP(B6,Data!$F$41:$J$69,2,FALSE)),0,VLOOKUP(B6,Data!$F$41:$J$69,2,FALSE))</f>
        <v>8</v>
      </c>
      <c r="E6" s="2">
        <f t="shared" ref="E6" si="3">C6*D6</f>
        <v>0</v>
      </c>
      <c r="F6" s="2">
        <f>IF(ISNA(VLOOKUP(B6,Data!$F$41:$J$69,3,FALSE)),0,VLOOKUP(B6,Data!$F$41:$J$69,3,FALSE))</f>
        <v>4</v>
      </c>
      <c r="G6" s="2" t="str">
        <f>IF(ISNA(VLOOKUP(B6,Data!$F$41:$J$69,4,FALSE)),0,VLOOKUP(B6,Data!$F$41:$J$69,4,FALSE))</f>
        <v>Power</v>
      </c>
      <c r="H6" s="2" t="str">
        <f>IF(ISNA(VLOOKUP(B6,Data!$F$41:$L$69,6,FALSE)),0,VLOOKUP(B6,Data!$F$41:$L$69,6,FALSE))</f>
        <v>ST</v>
      </c>
      <c r="I6" s="2">
        <f t="shared" ref="I6:I10" si="4">IF(H6="ST",$I$4,0)</f>
        <v>30</v>
      </c>
      <c r="J6" s="2">
        <f t="shared" ref="J6:J10" si="5">IF(H6="DT",$J$4,0)</f>
        <v>0</v>
      </c>
      <c r="K6" s="2">
        <f t="shared" ref="K6:K10" si="6">IF(H6="FP",$K$4,0)</f>
        <v>0</v>
      </c>
      <c r="L6" s="32">
        <f t="shared" si="1"/>
        <v>0</v>
      </c>
      <c r="M6" s="28">
        <f t="shared" si="2"/>
        <v>0</v>
      </c>
      <c r="N6" s="16">
        <f>IF(AND(G6="Power",H6="ST"),1*C6,0)</f>
        <v>0</v>
      </c>
      <c r="O6" s="16">
        <f t="shared" ref="O6:O11" si="7">IF(B6="Solenoid Valve Parker",CEILING(D6*C6/26,1),0)</f>
        <v>0</v>
      </c>
      <c r="P6" s="16">
        <f t="shared" ref="P6:P11" si="8">IF(AND(G6="Signal",H6="ST"),CEILING(D6*C6/26,0.5),0)</f>
        <v>0</v>
      </c>
      <c r="Q6" s="16">
        <f t="shared" ref="Q6:Q11" si="9">IF(AND(G6="Signal",H6="DT"),CEILING(D6*C6/26,0.5),0)</f>
        <v>0</v>
      </c>
      <c r="R6" s="16">
        <f t="shared" ref="R6:R11" si="10">IF(AND(G6="Signal",H6="FP"),CEILING(D6*C6/26,0.5),0)</f>
        <v>0</v>
      </c>
      <c r="S6" s="16"/>
      <c r="T6" s="16"/>
      <c r="U6" s="27"/>
      <c r="V6" s="29"/>
      <c r="W6" s="29"/>
      <c r="X6" s="16"/>
      <c r="Y6" s="27"/>
      <c r="Z6" s="9"/>
    </row>
    <row r="7" spans="1:26" ht="32.25" customHeight="1" x14ac:dyDescent="0.25">
      <c r="A7" s="2"/>
      <c r="B7" s="41" t="s">
        <v>385</v>
      </c>
      <c r="C7" s="39">
        <v>1</v>
      </c>
      <c r="D7" s="2">
        <f>IF(ISNA(VLOOKUP(B7,Data!$F$41:$J$69,2,FALSE)),0,VLOOKUP(B7,Data!$F$41:$J$69,2,FALSE))</f>
        <v>4</v>
      </c>
      <c r="E7" s="2">
        <f t="shared" si="0"/>
        <v>4</v>
      </c>
      <c r="F7" s="2">
        <f>IF(ISNA(VLOOKUP(B7,Data!$F$41:$J$69,3,FALSE)),0,VLOOKUP(B7,Data!$F$41:$J$69,3,FALSE))</f>
        <v>1.5</v>
      </c>
      <c r="G7" s="2" t="str">
        <f>IF(ISNA(VLOOKUP(B7,Data!$F$41:$J$69,4,FALSE)),0,VLOOKUP(B7,Data!$F$41:$J$69,4,FALSE))</f>
        <v>Signal</v>
      </c>
      <c r="H7" s="2" t="str">
        <f>IF(ISNA(VLOOKUP(B7,Data!$F$41:$L$69,6,FALSE)),0,VLOOKUP(B7,Data!$F$41:$L$69,6,FALSE))</f>
        <v>ST</v>
      </c>
      <c r="I7" s="2">
        <f t="shared" si="4"/>
        <v>30</v>
      </c>
      <c r="J7" s="2">
        <f t="shared" si="5"/>
        <v>0</v>
      </c>
      <c r="K7" s="2">
        <f t="shared" si="6"/>
        <v>0</v>
      </c>
      <c r="L7" s="32">
        <f t="shared" si="1"/>
        <v>0.14754098360655737</v>
      </c>
      <c r="M7" s="28">
        <f t="shared" si="2"/>
        <v>0</v>
      </c>
      <c r="N7" s="16">
        <f t="shared" ref="N7:N11" si="11">IF(AND(G7="Power",H7="ST"),1*C7,0)</f>
        <v>0</v>
      </c>
      <c r="O7" s="16">
        <f t="shared" si="7"/>
        <v>0</v>
      </c>
      <c r="P7" s="16">
        <f t="shared" si="8"/>
        <v>0.5</v>
      </c>
      <c r="Q7" s="16">
        <f t="shared" si="9"/>
        <v>0</v>
      </c>
      <c r="R7" s="16">
        <f t="shared" si="10"/>
        <v>0</v>
      </c>
      <c r="S7" s="16"/>
      <c r="T7" s="16"/>
      <c r="U7" s="27"/>
      <c r="V7" s="29"/>
      <c r="W7" s="29"/>
      <c r="X7" s="16"/>
      <c r="Y7" s="27"/>
      <c r="Z7" s="9"/>
    </row>
    <row r="8" spans="1:26" ht="32.25" customHeight="1" x14ac:dyDescent="0.25">
      <c r="A8" s="2"/>
      <c r="B8" s="41" t="s">
        <v>413</v>
      </c>
      <c r="C8" s="39">
        <v>1</v>
      </c>
      <c r="D8" s="2">
        <f>IF(ISNA(VLOOKUP(B8,Data!$F$41:$J$69,2,FALSE)),0,VLOOKUP(B8,Data!$F$41:$J$69,2,FALSE))</f>
        <v>2</v>
      </c>
      <c r="E8" s="2">
        <f t="shared" si="0"/>
        <v>2</v>
      </c>
      <c r="F8" s="2">
        <f>IF(ISNA(VLOOKUP(B8,Data!$F$41:$J$69,3,FALSE)),0,VLOOKUP(B8,Data!$F$41:$J$69,3,FALSE))</f>
        <v>1.5</v>
      </c>
      <c r="G8" s="2" t="str">
        <f>IF(ISNA(VLOOKUP(B8,Data!$F$41:$J$69,4,FALSE)),0,VLOOKUP(B8,Data!$F$41:$J$69,4,FALSE))</f>
        <v>Signal</v>
      </c>
      <c r="H8" s="2" t="str">
        <f>IF(ISNA(VLOOKUP(B8,Data!$F$41:$L$69,6,FALSE)),0,VLOOKUP(B8,Data!$F$41:$L$69,6,FALSE))</f>
        <v>ST</v>
      </c>
      <c r="I8" s="2">
        <f t="shared" si="4"/>
        <v>30</v>
      </c>
      <c r="J8" s="2">
        <f t="shared" si="5"/>
        <v>0</v>
      </c>
      <c r="K8" s="2">
        <f t="shared" si="6"/>
        <v>0</v>
      </c>
      <c r="L8" s="32">
        <f t="shared" si="1"/>
        <v>0.14754098360655737</v>
      </c>
      <c r="M8" s="28">
        <f t="shared" si="2"/>
        <v>0</v>
      </c>
      <c r="N8" s="16">
        <f t="shared" si="11"/>
        <v>0</v>
      </c>
      <c r="O8" s="16">
        <f t="shared" si="7"/>
        <v>0</v>
      </c>
      <c r="P8" s="16">
        <f t="shared" si="8"/>
        <v>0.5</v>
      </c>
      <c r="Q8" s="16">
        <f t="shared" si="9"/>
        <v>0</v>
      </c>
      <c r="R8" s="16">
        <f t="shared" si="10"/>
        <v>0</v>
      </c>
      <c r="S8" s="16"/>
      <c r="T8" s="16"/>
      <c r="U8" s="27"/>
      <c r="V8" s="29"/>
      <c r="W8" s="29"/>
      <c r="X8" s="16"/>
      <c r="Y8" s="27"/>
      <c r="Z8" s="9"/>
    </row>
    <row r="9" spans="1:26" ht="32.25" customHeight="1" x14ac:dyDescent="0.25">
      <c r="A9" s="2"/>
      <c r="B9" s="41" t="s">
        <v>415</v>
      </c>
      <c r="C9" s="39">
        <v>1</v>
      </c>
      <c r="D9" s="2">
        <f>IF(ISNA(VLOOKUP(B9,Data!$F$41:$J$69,2,FALSE)),0,VLOOKUP(B9,Data!$F$41:$J$69,2,FALSE))</f>
        <v>4</v>
      </c>
      <c r="E9" s="2">
        <f t="shared" si="0"/>
        <v>4</v>
      </c>
      <c r="F9" s="2">
        <f>IF(ISNA(VLOOKUP(B9,Data!$F$41:$J$69,3,FALSE)),0,VLOOKUP(B9,Data!$F$41:$J$69,3,FALSE))</f>
        <v>1.5</v>
      </c>
      <c r="G9" s="2" t="str">
        <f>IF(ISNA(VLOOKUP(B9,Data!$F$41:$J$69,4,FALSE)),0,VLOOKUP(B9,Data!$F$41:$J$69,4,FALSE))</f>
        <v>Signal</v>
      </c>
      <c r="H9" s="2" t="str">
        <f>IF(ISNA(VLOOKUP(B9,Data!$F$41:$L$69,6,FALSE)),0,VLOOKUP(B9,Data!$F$41:$L$69,6,FALSE))</f>
        <v>ST</v>
      </c>
      <c r="I9" s="2">
        <f t="shared" si="4"/>
        <v>30</v>
      </c>
      <c r="J9" s="2">
        <f t="shared" si="5"/>
        <v>0</v>
      </c>
      <c r="K9" s="2">
        <f t="shared" si="6"/>
        <v>0</v>
      </c>
      <c r="L9" s="32">
        <f t="shared" si="1"/>
        <v>0.14754098360655737</v>
      </c>
      <c r="M9" s="28">
        <f t="shared" si="2"/>
        <v>0</v>
      </c>
      <c r="N9" s="16">
        <f t="shared" si="11"/>
        <v>0</v>
      </c>
      <c r="O9" s="16">
        <f t="shared" si="7"/>
        <v>0</v>
      </c>
      <c r="P9" s="16">
        <f t="shared" si="8"/>
        <v>0.5</v>
      </c>
      <c r="Q9" s="16">
        <f t="shared" si="9"/>
        <v>0</v>
      </c>
      <c r="R9" s="16">
        <f t="shared" si="10"/>
        <v>0</v>
      </c>
      <c r="S9" s="16"/>
      <c r="T9" s="16"/>
      <c r="U9" s="27"/>
      <c r="V9" s="29"/>
      <c r="W9" s="29"/>
      <c r="X9" s="16"/>
      <c r="Y9" s="27"/>
      <c r="Z9" s="9"/>
    </row>
    <row r="10" spans="1:26" ht="32.25" customHeight="1" x14ac:dyDescent="0.25">
      <c r="A10" s="2"/>
      <c r="B10" s="41" t="s">
        <v>454</v>
      </c>
      <c r="C10" s="39">
        <v>0</v>
      </c>
      <c r="D10" s="2">
        <f>IF(ISNA(VLOOKUP(B10,Data!$F$41:$J$69,2,FALSE)),0,VLOOKUP(B10,Data!$F$41:$J$69,2,FALSE))</f>
        <v>4</v>
      </c>
      <c r="E10" s="2">
        <f t="shared" si="0"/>
        <v>0</v>
      </c>
      <c r="F10" s="2">
        <f>IF(ISNA(VLOOKUP(B10,Data!$F$41:$J$69,3,FALSE)),0,VLOOKUP(B10,Data!$F$41:$J$69,3,FALSE))</f>
        <v>1.5</v>
      </c>
      <c r="G10" s="2" t="str">
        <f>IF(ISNA(VLOOKUP(B10,Data!$F$41:$J$69,4,FALSE)),0,VLOOKUP(B10,Data!$F$41:$J$69,4,FALSE))</f>
        <v>Signal</v>
      </c>
      <c r="H10" s="2" t="str">
        <f>IF(ISNA(VLOOKUP(B10,Data!$F$41:$L$69,6,FALSE)),0,VLOOKUP(B10,Data!$F$41:$L$69,6,FALSE))</f>
        <v>ST</v>
      </c>
      <c r="I10" s="2">
        <f t="shared" si="4"/>
        <v>30</v>
      </c>
      <c r="J10" s="2">
        <f t="shared" si="5"/>
        <v>0</v>
      </c>
      <c r="K10" s="2">
        <f t="shared" si="6"/>
        <v>0</v>
      </c>
      <c r="L10" s="32">
        <f t="shared" si="1"/>
        <v>0</v>
      </c>
      <c r="M10" s="28">
        <f t="shared" si="2"/>
        <v>0</v>
      </c>
      <c r="N10" s="16">
        <f t="shared" si="11"/>
        <v>0</v>
      </c>
      <c r="O10" s="16">
        <f t="shared" si="7"/>
        <v>0</v>
      </c>
      <c r="P10" s="16">
        <f t="shared" si="8"/>
        <v>0</v>
      </c>
      <c r="Q10" s="16">
        <f t="shared" si="9"/>
        <v>0</v>
      </c>
      <c r="R10" s="16">
        <f t="shared" si="10"/>
        <v>0</v>
      </c>
      <c r="S10" s="16"/>
      <c r="T10" s="16"/>
      <c r="U10" s="27"/>
      <c r="V10" s="29"/>
      <c r="W10" s="29"/>
      <c r="X10" s="16"/>
      <c r="Y10" s="27"/>
      <c r="Z10" s="9"/>
    </row>
    <row r="11" spans="1:26" ht="32.25" customHeight="1" x14ac:dyDescent="0.25">
      <c r="A11" s="2"/>
      <c r="B11" s="41" t="s">
        <v>408</v>
      </c>
      <c r="C11" s="39">
        <v>1</v>
      </c>
      <c r="D11" s="2">
        <f>IF(ISNA(VLOOKUP(B11,Data!$F$41:$J$69,2,FALSE)),0,VLOOKUP(B11,Data!$F$41:$J$69,2,FALSE))</f>
        <v>2</v>
      </c>
      <c r="E11" s="2">
        <f t="shared" ref="E11" si="12">C11*D11</f>
        <v>2</v>
      </c>
      <c r="F11" s="2">
        <f>IF(ISNA(VLOOKUP(B11,Data!$F$41:$J$69,3,FALSE)),0,VLOOKUP(B11,Data!$F$41:$J$69,3,FALSE))</f>
        <v>1.5</v>
      </c>
      <c r="G11" s="2" t="str">
        <f>IF(ISNA(VLOOKUP(B11,Data!$F$41:$J$69,4,FALSE)),0,VLOOKUP(B11,Data!$F$41:$J$69,4,FALSE))</f>
        <v>Power</v>
      </c>
      <c r="H11" s="2" t="str">
        <f>IF(ISNA(VLOOKUP(B11,Data!$F$41:$L$69,6,FALSE)),0,VLOOKUP(B11,Data!$F$41:$L$69,6,FALSE))</f>
        <v>DT</v>
      </c>
      <c r="I11" s="2">
        <f t="shared" ref="I11" si="13">IF(H11="ST",$I$4,0)</f>
        <v>0</v>
      </c>
      <c r="J11" s="2">
        <f t="shared" ref="J11" si="14">IF(H11="DT",$J$4,0)</f>
        <v>100</v>
      </c>
      <c r="K11" s="2">
        <f t="shared" ref="K11" si="15">IF(H11="FP",$K$4,0)</f>
        <v>0</v>
      </c>
      <c r="L11" s="32">
        <f t="shared" ref="L11" si="16">IF(G11="Power",0,(SUM(I11:K11)*1.5/305))*C11</f>
        <v>0</v>
      </c>
      <c r="M11" s="28">
        <f t="shared" ref="M11" si="17">IF(G11="Signal",0,(SUM(I11:K11)*1.5))*C11</f>
        <v>150</v>
      </c>
      <c r="N11" s="16">
        <f t="shared" si="11"/>
        <v>0</v>
      </c>
      <c r="O11" s="16">
        <f t="shared" si="7"/>
        <v>1</v>
      </c>
      <c r="P11" s="16">
        <f t="shared" si="8"/>
        <v>0</v>
      </c>
      <c r="Q11" s="16">
        <f t="shared" si="9"/>
        <v>0</v>
      </c>
      <c r="R11" s="16">
        <f t="shared" si="10"/>
        <v>0</v>
      </c>
      <c r="S11" s="16"/>
      <c r="T11" s="16"/>
      <c r="U11" s="27"/>
      <c r="V11" s="29"/>
      <c r="W11" s="29"/>
      <c r="X11" s="16"/>
      <c r="Y11" s="27"/>
      <c r="Z11" s="9"/>
    </row>
    <row r="12" spans="1:26" ht="32.25" customHeight="1" x14ac:dyDescent="0.25">
      <c r="A12" s="2"/>
      <c r="B12" s="41" t="s">
        <v>408</v>
      </c>
      <c r="C12" s="39">
        <v>0</v>
      </c>
      <c r="D12" s="2">
        <f>IF(ISNA(VLOOKUP(B12,Data!$F$41:$J$69,2,FALSE)),0,VLOOKUP(B12,Data!$F$41:$J$69,2,FALSE))</f>
        <v>2</v>
      </c>
      <c r="E12" s="2">
        <f t="shared" ref="E12:E26" si="18">C12*D12</f>
        <v>0</v>
      </c>
      <c r="F12" s="2">
        <f>IF(ISNA(VLOOKUP(B12,Data!$F$41:$J$69,3,FALSE)),0,VLOOKUP(B12,Data!$F$41:$J$69,3,FALSE))</f>
        <v>1.5</v>
      </c>
      <c r="G12" s="2" t="str">
        <f>IF(ISNA(VLOOKUP(B12,Data!$F$41:$J$69,4,FALSE)),0,VLOOKUP(B12,Data!$F$41:$J$69,4,FALSE))</f>
        <v>Power</v>
      </c>
      <c r="H12" s="2" t="str">
        <f>IF(ISNA(VLOOKUP(B12,Data!$F$41:$L$69,6,FALSE)),0,VLOOKUP(B12,Data!$F$41:$L$69,6,FALSE))</f>
        <v>DT</v>
      </c>
      <c r="I12" s="2">
        <f t="shared" ref="I12:I26" si="19">IF(H12="ST",$I$4,0)</f>
        <v>0</v>
      </c>
      <c r="J12" s="2">
        <f t="shared" ref="J12:J26" si="20">IF(H12="DT",$J$4,0)</f>
        <v>100</v>
      </c>
      <c r="K12" s="2">
        <f t="shared" ref="K12:K26" si="21">IF(H12="FP",$K$4,0)</f>
        <v>0</v>
      </c>
      <c r="L12" s="32">
        <f t="shared" ref="L12:L26" si="22">IF(G12="Power",0,(SUM(I12:K12)*1.5/305))*C12</f>
        <v>0</v>
      </c>
      <c r="M12" s="28">
        <f t="shared" ref="M12:M26" si="23">IF(G12="Signal",0,(SUM(I12:K12)*1.5))*C12</f>
        <v>0</v>
      </c>
      <c r="N12" s="16">
        <f t="shared" ref="N12:N26" si="24">IF(AND(G12="Power",H12="ST"),1*C12,0)</f>
        <v>0</v>
      </c>
      <c r="O12" s="16">
        <f t="shared" ref="O12:O26" si="25">IF(B12="Solenoid Valve Parker",CEILING(D12*C12/26,1),0)</f>
        <v>0</v>
      </c>
      <c r="P12" s="16">
        <f t="shared" ref="P12:P26" si="26">IF(AND(G12="Signal",H12="ST"),CEILING(D12*C12/26,0.5),0)</f>
        <v>0</v>
      </c>
      <c r="Q12" s="16">
        <f t="shared" ref="Q12:Q26" si="27">IF(AND(G12="Signal",H12="DT"),CEILING(D12*C12/26,0.5),0)</f>
        <v>0</v>
      </c>
      <c r="R12" s="16">
        <f t="shared" ref="R12:R26" si="28">IF(AND(G12="Signal",H12="FP"),CEILING(D12*C12/26,0.5),0)</f>
        <v>0</v>
      </c>
      <c r="S12" s="16"/>
      <c r="T12" s="16"/>
      <c r="U12" s="27"/>
      <c r="V12" s="29"/>
      <c r="W12" s="29"/>
      <c r="X12" s="16"/>
      <c r="Y12" s="27"/>
      <c r="Z12" s="9"/>
    </row>
    <row r="13" spans="1:26" ht="32.25" customHeight="1" x14ac:dyDescent="0.25">
      <c r="A13" s="2"/>
      <c r="B13" s="41" t="s">
        <v>408</v>
      </c>
      <c r="C13" s="39">
        <v>0</v>
      </c>
      <c r="D13" s="2">
        <f>IF(ISNA(VLOOKUP(B13,Data!$F$41:$J$69,2,FALSE)),0,VLOOKUP(B13,Data!$F$41:$J$69,2,FALSE))</f>
        <v>2</v>
      </c>
      <c r="E13" s="2">
        <f t="shared" si="18"/>
        <v>0</v>
      </c>
      <c r="F13" s="2">
        <f>IF(ISNA(VLOOKUP(B13,Data!$F$41:$J$69,3,FALSE)),0,VLOOKUP(B13,Data!$F$41:$J$69,3,FALSE))</f>
        <v>1.5</v>
      </c>
      <c r="G13" s="2" t="str">
        <f>IF(ISNA(VLOOKUP(B13,Data!$F$41:$J$69,4,FALSE)),0,VLOOKUP(B13,Data!$F$41:$J$69,4,FALSE))</f>
        <v>Power</v>
      </c>
      <c r="H13" s="2" t="str">
        <f>IF(ISNA(VLOOKUP(B13,Data!$F$41:$L$69,6,FALSE)),0,VLOOKUP(B13,Data!$F$41:$L$69,6,FALSE))</f>
        <v>DT</v>
      </c>
      <c r="I13" s="2">
        <f t="shared" si="19"/>
        <v>0</v>
      </c>
      <c r="J13" s="2">
        <f t="shared" si="20"/>
        <v>100</v>
      </c>
      <c r="K13" s="2">
        <f t="shared" si="21"/>
        <v>0</v>
      </c>
      <c r="L13" s="32">
        <f t="shared" si="22"/>
        <v>0</v>
      </c>
      <c r="M13" s="28">
        <f t="shared" si="23"/>
        <v>0</v>
      </c>
      <c r="N13" s="16">
        <f t="shared" si="24"/>
        <v>0</v>
      </c>
      <c r="O13" s="16">
        <f t="shared" si="25"/>
        <v>0</v>
      </c>
      <c r="P13" s="16">
        <f t="shared" si="26"/>
        <v>0</v>
      </c>
      <c r="Q13" s="16">
        <f t="shared" si="27"/>
        <v>0</v>
      </c>
      <c r="R13" s="16">
        <f t="shared" si="28"/>
        <v>0</v>
      </c>
      <c r="S13" s="16"/>
      <c r="T13" s="16"/>
      <c r="U13" s="27"/>
      <c r="V13" s="29"/>
      <c r="W13" s="29"/>
      <c r="X13" s="16"/>
      <c r="Y13" s="27"/>
      <c r="Z13" s="9"/>
    </row>
    <row r="14" spans="1:26" ht="32.25" customHeight="1" x14ac:dyDescent="0.25">
      <c r="A14" s="2"/>
      <c r="B14" s="41" t="s">
        <v>386</v>
      </c>
      <c r="C14" s="39">
        <v>1</v>
      </c>
      <c r="D14" s="2">
        <f>IF(ISNA(VLOOKUP(B14,Data!$F$41:$J$69,2,FALSE)),0,VLOOKUP(B14,Data!$F$41:$J$69,2,FALSE))</f>
        <v>4</v>
      </c>
      <c r="E14" s="2">
        <f t="shared" si="18"/>
        <v>4</v>
      </c>
      <c r="F14" s="2">
        <f>IF(ISNA(VLOOKUP(B14,Data!$F$41:$J$69,3,FALSE)),0,VLOOKUP(B14,Data!$F$41:$J$69,3,FALSE))</f>
        <v>1.5</v>
      </c>
      <c r="G14" s="2" t="str">
        <f>IF(ISNA(VLOOKUP(B14,Data!$F$41:$J$69,4,FALSE)),0,VLOOKUP(B14,Data!$F$41:$J$69,4,FALSE))</f>
        <v>Signal</v>
      </c>
      <c r="H14" s="2" t="str">
        <f>IF(ISNA(VLOOKUP(B14,Data!$F$41:$L$69,6,FALSE)),0,VLOOKUP(B14,Data!$F$41:$L$69,6,FALSE))</f>
        <v>DT</v>
      </c>
      <c r="I14" s="2">
        <f t="shared" si="19"/>
        <v>0</v>
      </c>
      <c r="J14" s="2">
        <f t="shared" si="20"/>
        <v>100</v>
      </c>
      <c r="K14" s="2">
        <f t="shared" si="21"/>
        <v>0</v>
      </c>
      <c r="L14" s="32">
        <f t="shared" si="22"/>
        <v>0.49180327868852458</v>
      </c>
      <c r="M14" s="28">
        <f t="shared" si="23"/>
        <v>0</v>
      </c>
      <c r="N14" s="16">
        <f t="shared" si="24"/>
        <v>0</v>
      </c>
      <c r="O14" s="16">
        <f t="shared" si="25"/>
        <v>0</v>
      </c>
      <c r="P14" s="16">
        <f t="shared" si="26"/>
        <v>0</v>
      </c>
      <c r="Q14" s="16">
        <f t="shared" si="27"/>
        <v>0.5</v>
      </c>
      <c r="R14" s="16">
        <f t="shared" si="28"/>
        <v>0</v>
      </c>
      <c r="S14" s="16"/>
      <c r="T14" s="16"/>
      <c r="U14" s="27"/>
      <c r="V14" s="29"/>
      <c r="W14" s="29"/>
      <c r="X14" s="16"/>
      <c r="Y14" s="27"/>
      <c r="Z14" s="9"/>
    </row>
    <row r="15" spans="1:26" ht="32.25" customHeight="1" x14ac:dyDescent="0.25">
      <c r="A15" s="2"/>
      <c r="B15" s="41" t="s">
        <v>386</v>
      </c>
      <c r="C15" s="39">
        <v>0</v>
      </c>
      <c r="D15" s="2">
        <f>IF(ISNA(VLOOKUP(B15,Data!$F$41:$J$69,2,FALSE)),0,VLOOKUP(B15,Data!$F$41:$J$69,2,FALSE))</f>
        <v>4</v>
      </c>
      <c r="E15" s="2">
        <f t="shared" si="18"/>
        <v>0</v>
      </c>
      <c r="F15" s="2">
        <f>IF(ISNA(VLOOKUP(B15,Data!$F$41:$J$69,3,FALSE)),0,VLOOKUP(B15,Data!$F$41:$J$69,3,FALSE))</f>
        <v>1.5</v>
      </c>
      <c r="G15" s="2" t="str">
        <f>IF(ISNA(VLOOKUP(B15,Data!$F$41:$J$69,4,FALSE)),0,VLOOKUP(B15,Data!$F$41:$J$69,4,FALSE))</f>
        <v>Signal</v>
      </c>
      <c r="H15" s="2" t="str">
        <f>IF(ISNA(VLOOKUP(B15,Data!$F$41:$L$69,6,FALSE)),0,VLOOKUP(B15,Data!$F$41:$L$69,6,FALSE))</f>
        <v>DT</v>
      </c>
      <c r="I15" s="2">
        <f t="shared" si="19"/>
        <v>0</v>
      </c>
      <c r="J15" s="2">
        <f t="shared" si="20"/>
        <v>100</v>
      </c>
      <c r="K15" s="2">
        <f t="shared" si="21"/>
        <v>0</v>
      </c>
      <c r="L15" s="32">
        <f t="shared" si="22"/>
        <v>0</v>
      </c>
      <c r="M15" s="28">
        <f t="shared" si="23"/>
        <v>0</v>
      </c>
      <c r="N15" s="16">
        <f t="shared" si="24"/>
        <v>0</v>
      </c>
      <c r="O15" s="16">
        <f t="shared" si="25"/>
        <v>0</v>
      </c>
      <c r="P15" s="16">
        <f t="shared" si="26"/>
        <v>0</v>
      </c>
      <c r="Q15" s="16">
        <f t="shared" si="27"/>
        <v>0</v>
      </c>
      <c r="R15" s="16">
        <f t="shared" si="28"/>
        <v>0</v>
      </c>
      <c r="S15" s="16"/>
      <c r="T15" s="16"/>
      <c r="U15" s="27"/>
      <c r="V15" s="29"/>
      <c r="W15" s="29"/>
      <c r="X15" s="16"/>
      <c r="Y15" s="27"/>
      <c r="Z15" s="9"/>
    </row>
    <row r="16" spans="1:26" ht="32.25" customHeight="1" x14ac:dyDescent="0.25">
      <c r="A16" s="2"/>
      <c r="B16" s="41" t="s">
        <v>386</v>
      </c>
      <c r="C16" s="39">
        <v>0</v>
      </c>
      <c r="D16" s="2">
        <f>IF(ISNA(VLOOKUP(B16,Data!$F$41:$J$69,2,FALSE)),0,VLOOKUP(B16,Data!$F$41:$J$69,2,FALSE))</f>
        <v>4</v>
      </c>
      <c r="E16" s="2">
        <f t="shared" si="18"/>
        <v>0</v>
      </c>
      <c r="F16" s="2">
        <f>IF(ISNA(VLOOKUP(B16,Data!$F$41:$J$69,3,FALSE)),0,VLOOKUP(B16,Data!$F$41:$J$69,3,FALSE))</f>
        <v>1.5</v>
      </c>
      <c r="G16" s="2" t="str">
        <f>IF(ISNA(VLOOKUP(B16,Data!$F$41:$J$69,4,FALSE)),0,VLOOKUP(B16,Data!$F$41:$J$69,4,FALSE))</f>
        <v>Signal</v>
      </c>
      <c r="H16" s="2" t="str">
        <f>IF(ISNA(VLOOKUP(B16,Data!$F$41:$L$69,6,FALSE)),0,VLOOKUP(B16,Data!$F$41:$L$69,6,FALSE))</f>
        <v>DT</v>
      </c>
      <c r="I16" s="2">
        <f t="shared" si="19"/>
        <v>0</v>
      </c>
      <c r="J16" s="2">
        <f t="shared" si="20"/>
        <v>100</v>
      </c>
      <c r="K16" s="2">
        <f t="shared" si="21"/>
        <v>0</v>
      </c>
      <c r="L16" s="32">
        <f t="shared" si="22"/>
        <v>0</v>
      </c>
      <c r="M16" s="28">
        <f t="shared" si="23"/>
        <v>0</v>
      </c>
      <c r="N16" s="16">
        <f t="shared" si="24"/>
        <v>0</v>
      </c>
      <c r="O16" s="16">
        <f t="shared" si="25"/>
        <v>0</v>
      </c>
      <c r="P16" s="16">
        <f t="shared" si="26"/>
        <v>0</v>
      </c>
      <c r="Q16" s="16">
        <f t="shared" si="27"/>
        <v>0</v>
      </c>
      <c r="R16" s="16">
        <f t="shared" si="28"/>
        <v>0</v>
      </c>
      <c r="S16" s="16"/>
      <c r="T16" s="16"/>
      <c r="U16" s="27"/>
      <c r="V16" s="29"/>
      <c r="W16" s="29"/>
      <c r="X16" s="16"/>
      <c r="Y16" s="27"/>
      <c r="Z16" s="9"/>
    </row>
    <row r="17" spans="1:27" ht="32.25" customHeight="1" x14ac:dyDescent="0.25">
      <c r="A17" s="2"/>
      <c r="B17" s="41" t="s">
        <v>412</v>
      </c>
      <c r="C17" s="39">
        <v>1</v>
      </c>
      <c r="D17" s="2">
        <f>IF(ISNA(VLOOKUP(B17,Data!$F$41:$J$69,2,FALSE)),0,VLOOKUP(B17,Data!$F$41:$J$69,2,FALSE))</f>
        <v>2</v>
      </c>
      <c r="E17" s="2">
        <f t="shared" si="18"/>
        <v>2</v>
      </c>
      <c r="F17" s="2">
        <f>IF(ISNA(VLOOKUP(B17,Data!$F$41:$J$69,3,FALSE)),0,VLOOKUP(B17,Data!$F$41:$J$69,3,FALSE))</f>
        <v>1.5</v>
      </c>
      <c r="G17" s="2" t="str">
        <f>IF(ISNA(VLOOKUP(B17,Data!$F$41:$J$69,4,FALSE)),0,VLOOKUP(B17,Data!$F$41:$J$69,4,FALSE))</f>
        <v>Signal</v>
      </c>
      <c r="H17" s="2" t="str">
        <f>IF(ISNA(VLOOKUP(B17,Data!$F$41:$L$69,6,FALSE)),0,VLOOKUP(B17,Data!$F$41:$L$69,6,FALSE))</f>
        <v>DT</v>
      </c>
      <c r="I17" s="2">
        <f t="shared" si="19"/>
        <v>0</v>
      </c>
      <c r="J17" s="2">
        <f t="shared" si="20"/>
        <v>100</v>
      </c>
      <c r="K17" s="2">
        <f t="shared" si="21"/>
        <v>0</v>
      </c>
      <c r="L17" s="32">
        <f t="shared" si="22"/>
        <v>0.49180327868852458</v>
      </c>
      <c r="M17" s="28">
        <f t="shared" si="23"/>
        <v>0</v>
      </c>
      <c r="N17" s="16">
        <f t="shared" si="24"/>
        <v>0</v>
      </c>
      <c r="O17" s="16">
        <f t="shared" si="25"/>
        <v>0</v>
      </c>
      <c r="P17" s="16">
        <f t="shared" si="26"/>
        <v>0</v>
      </c>
      <c r="Q17" s="16">
        <f t="shared" si="27"/>
        <v>0.5</v>
      </c>
      <c r="R17" s="16">
        <f t="shared" si="28"/>
        <v>0</v>
      </c>
      <c r="S17" s="16"/>
      <c r="T17" s="16"/>
      <c r="U17" s="27"/>
      <c r="V17" s="29"/>
      <c r="W17" s="29"/>
      <c r="X17" s="16"/>
      <c r="Y17" s="27"/>
      <c r="Z17" s="9"/>
    </row>
    <row r="18" spans="1:27" ht="32.25" customHeight="1" x14ac:dyDescent="0.25">
      <c r="A18" s="2"/>
      <c r="B18" s="41" t="s">
        <v>412</v>
      </c>
      <c r="C18" s="39">
        <v>0</v>
      </c>
      <c r="D18" s="2">
        <f>IF(ISNA(VLOOKUP(B18,Data!$F$41:$J$69,2,FALSE)),0,VLOOKUP(B18,Data!$F$41:$J$69,2,FALSE))</f>
        <v>2</v>
      </c>
      <c r="E18" s="2">
        <f t="shared" si="18"/>
        <v>0</v>
      </c>
      <c r="F18" s="2">
        <f>IF(ISNA(VLOOKUP(B18,Data!$F$41:$J$69,3,FALSE)),0,VLOOKUP(B18,Data!$F$41:$J$69,3,FALSE))</f>
        <v>1.5</v>
      </c>
      <c r="G18" s="2" t="str">
        <f>IF(ISNA(VLOOKUP(B18,Data!$F$41:$J$69,4,FALSE)),0,VLOOKUP(B18,Data!$F$41:$J$69,4,FALSE))</f>
        <v>Signal</v>
      </c>
      <c r="H18" s="2" t="str">
        <f>IF(ISNA(VLOOKUP(B18,Data!$F$41:$L$69,6,FALSE)),0,VLOOKUP(B18,Data!$F$41:$L$69,6,FALSE))</f>
        <v>DT</v>
      </c>
      <c r="I18" s="2">
        <f t="shared" si="19"/>
        <v>0</v>
      </c>
      <c r="J18" s="2">
        <f t="shared" si="20"/>
        <v>100</v>
      </c>
      <c r="K18" s="2">
        <f t="shared" si="21"/>
        <v>0</v>
      </c>
      <c r="L18" s="32">
        <f t="shared" si="22"/>
        <v>0</v>
      </c>
      <c r="M18" s="28">
        <f t="shared" si="23"/>
        <v>0</v>
      </c>
      <c r="N18" s="16">
        <f t="shared" si="24"/>
        <v>0</v>
      </c>
      <c r="O18" s="16">
        <f t="shared" si="25"/>
        <v>0</v>
      </c>
      <c r="P18" s="16">
        <f t="shared" si="26"/>
        <v>0</v>
      </c>
      <c r="Q18" s="16">
        <f t="shared" si="27"/>
        <v>0</v>
      </c>
      <c r="R18" s="16">
        <f t="shared" si="28"/>
        <v>0</v>
      </c>
      <c r="S18" s="16"/>
      <c r="T18" s="16"/>
      <c r="U18" s="27"/>
      <c r="V18" s="29"/>
      <c r="W18" s="29"/>
      <c r="X18" s="16"/>
      <c r="Y18" s="27"/>
      <c r="Z18" s="9"/>
    </row>
    <row r="19" spans="1:27" ht="32.25" customHeight="1" x14ac:dyDescent="0.25">
      <c r="A19" s="2"/>
      <c r="B19" s="41" t="s">
        <v>412</v>
      </c>
      <c r="C19" s="39">
        <v>0</v>
      </c>
      <c r="D19" s="2">
        <f>IF(ISNA(VLOOKUP(B19,Data!$F$41:$J$69,2,FALSE)),0,VLOOKUP(B19,Data!$F$41:$J$69,2,FALSE))</f>
        <v>2</v>
      </c>
      <c r="E19" s="2">
        <f t="shared" si="18"/>
        <v>0</v>
      </c>
      <c r="F19" s="2">
        <f>IF(ISNA(VLOOKUP(B19,Data!$F$41:$J$69,3,FALSE)),0,VLOOKUP(B19,Data!$F$41:$J$69,3,FALSE))</f>
        <v>1.5</v>
      </c>
      <c r="G19" s="2" t="str">
        <f>IF(ISNA(VLOOKUP(B19,Data!$F$41:$J$69,4,FALSE)),0,VLOOKUP(B19,Data!$F$41:$J$69,4,FALSE))</f>
        <v>Signal</v>
      </c>
      <c r="H19" s="2" t="str">
        <f>IF(ISNA(VLOOKUP(B19,Data!$F$41:$L$69,6,FALSE)),0,VLOOKUP(B19,Data!$F$41:$L$69,6,FALSE))</f>
        <v>DT</v>
      </c>
      <c r="I19" s="2">
        <f t="shared" si="19"/>
        <v>0</v>
      </c>
      <c r="J19" s="2">
        <f t="shared" si="20"/>
        <v>100</v>
      </c>
      <c r="K19" s="2">
        <f t="shared" si="21"/>
        <v>0</v>
      </c>
      <c r="L19" s="32">
        <f t="shared" si="22"/>
        <v>0</v>
      </c>
      <c r="M19" s="28">
        <f t="shared" si="23"/>
        <v>0</v>
      </c>
      <c r="N19" s="16">
        <f t="shared" si="24"/>
        <v>0</v>
      </c>
      <c r="O19" s="16">
        <f t="shared" si="25"/>
        <v>0</v>
      </c>
      <c r="P19" s="16">
        <f t="shared" si="26"/>
        <v>0</v>
      </c>
      <c r="Q19" s="16">
        <f t="shared" si="27"/>
        <v>0</v>
      </c>
      <c r="R19" s="16">
        <f t="shared" si="28"/>
        <v>0</v>
      </c>
      <c r="S19" s="16"/>
      <c r="T19" s="16"/>
      <c r="U19" s="27"/>
      <c r="V19" s="29"/>
      <c r="W19" s="29"/>
      <c r="X19" s="16"/>
      <c r="Y19" s="27"/>
      <c r="Z19" s="9"/>
    </row>
    <row r="20" spans="1:27" ht="32.25" customHeight="1" x14ac:dyDescent="0.25">
      <c r="A20" s="2"/>
      <c r="B20" s="41" t="s">
        <v>414</v>
      </c>
      <c r="C20" s="39">
        <v>1</v>
      </c>
      <c r="D20" s="2">
        <f>IF(ISNA(VLOOKUP(B20,Data!$F$41:$J$69,2,FALSE)),0,VLOOKUP(B20,Data!$F$41:$J$69,2,FALSE))</f>
        <v>4</v>
      </c>
      <c r="E20" s="2">
        <f t="shared" si="18"/>
        <v>4</v>
      </c>
      <c r="F20" s="2">
        <f>IF(ISNA(VLOOKUP(B20,Data!$F$41:$J$69,3,FALSE)),0,VLOOKUP(B20,Data!$F$41:$J$69,3,FALSE))</f>
        <v>1.5</v>
      </c>
      <c r="G20" s="2" t="str">
        <f>IF(ISNA(VLOOKUP(B20,Data!$F$41:$J$69,4,FALSE)),0,VLOOKUP(B20,Data!$F$41:$J$69,4,FALSE))</f>
        <v>Signal</v>
      </c>
      <c r="H20" s="2" t="str">
        <f>IF(ISNA(VLOOKUP(B20,Data!$F$41:$L$69,6,FALSE)),0,VLOOKUP(B20,Data!$F$41:$L$69,6,FALSE))</f>
        <v>DT</v>
      </c>
      <c r="I20" s="2">
        <f t="shared" si="19"/>
        <v>0</v>
      </c>
      <c r="J20" s="2">
        <f t="shared" si="20"/>
        <v>100</v>
      </c>
      <c r="K20" s="2">
        <f t="shared" si="21"/>
        <v>0</v>
      </c>
      <c r="L20" s="32">
        <f t="shared" si="22"/>
        <v>0.49180327868852458</v>
      </c>
      <c r="M20" s="28">
        <f t="shared" si="23"/>
        <v>0</v>
      </c>
      <c r="N20" s="16">
        <f t="shared" si="24"/>
        <v>0</v>
      </c>
      <c r="O20" s="16">
        <f t="shared" si="25"/>
        <v>0</v>
      </c>
      <c r="P20" s="16">
        <f t="shared" si="26"/>
        <v>0</v>
      </c>
      <c r="Q20" s="16">
        <f t="shared" si="27"/>
        <v>0.5</v>
      </c>
      <c r="R20" s="16">
        <f t="shared" si="28"/>
        <v>0</v>
      </c>
      <c r="S20" s="16"/>
      <c r="T20" s="16"/>
      <c r="U20" s="27"/>
      <c r="V20" s="29"/>
      <c r="W20" s="29"/>
      <c r="X20" s="16"/>
      <c r="Y20" s="27"/>
      <c r="Z20" s="9"/>
    </row>
    <row r="21" spans="1:27" ht="32.25" customHeight="1" x14ac:dyDescent="0.25">
      <c r="A21" s="2"/>
      <c r="B21" s="41" t="s">
        <v>414</v>
      </c>
      <c r="C21" s="39">
        <v>0</v>
      </c>
      <c r="D21" s="2">
        <f>IF(ISNA(VLOOKUP(B21,Data!$F$41:$J$69,2,FALSE)),0,VLOOKUP(B21,Data!$F$41:$J$69,2,FALSE))</f>
        <v>4</v>
      </c>
      <c r="E21" s="2">
        <f t="shared" si="18"/>
        <v>0</v>
      </c>
      <c r="F21" s="2">
        <f>IF(ISNA(VLOOKUP(B21,Data!$F$41:$J$69,3,FALSE)),0,VLOOKUP(B21,Data!$F$41:$J$69,3,FALSE))</f>
        <v>1.5</v>
      </c>
      <c r="G21" s="2" t="str">
        <f>IF(ISNA(VLOOKUP(B21,Data!$F$41:$J$69,4,FALSE)),0,VLOOKUP(B21,Data!$F$41:$J$69,4,FALSE))</f>
        <v>Signal</v>
      </c>
      <c r="H21" s="2" t="str">
        <f>IF(ISNA(VLOOKUP(B21,Data!$F$41:$L$69,6,FALSE)),0,VLOOKUP(B21,Data!$F$41:$L$69,6,FALSE))</f>
        <v>DT</v>
      </c>
      <c r="I21" s="2">
        <f t="shared" si="19"/>
        <v>0</v>
      </c>
      <c r="J21" s="2">
        <f t="shared" si="20"/>
        <v>100</v>
      </c>
      <c r="K21" s="2">
        <f t="shared" si="21"/>
        <v>0</v>
      </c>
      <c r="L21" s="32">
        <f t="shared" si="22"/>
        <v>0</v>
      </c>
      <c r="M21" s="28">
        <f t="shared" si="23"/>
        <v>0</v>
      </c>
      <c r="N21" s="16">
        <f t="shared" si="24"/>
        <v>0</v>
      </c>
      <c r="O21" s="16">
        <f t="shared" si="25"/>
        <v>0</v>
      </c>
      <c r="P21" s="16">
        <f t="shared" si="26"/>
        <v>0</v>
      </c>
      <c r="Q21" s="16">
        <f t="shared" si="27"/>
        <v>0</v>
      </c>
      <c r="R21" s="16">
        <f t="shared" si="28"/>
        <v>0</v>
      </c>
      <c r="S21" s="16"/>
      <c r="T21" s="16"/>
      <c r="U21" s="27"/>
      <c r="V21" s="29"/>
      <c r="W21" s="29"/>
      <c r="X21" s="16"/>
      <c r="Y21" s="27"/>
      <c r="Z21" s="9"/>
    </row>
    <row r="22" spans="1:27" ht="32.25" customHeight="1" x14ac:dyDescent="0.25">
      <c r="A22" s="2"/>
      <c r="B22" s="41" t="s">
        <v>414</v>
      </c>
      <c r="C22" s="39">
        <v>0</v>
      </c>
      <c r="D22" s="2">
        <f>IF(ISNA(VLOOKUP(B22,Data!$F$41:$J$69,2,FALSE)),0,VLOOKUP(B22,Data!$F$41:$J$69,2,FALSE))</f>
        <v>4</v>
      </c>
      <c r="E22" s="2">
        <f t="shared" si="18"/>
        <v>0</v>
      </c>
      <c r="F22" s="2">
        <f>IF(ISNA(VLOOKUP(B22,Data!$F$41:$J$69,3,FALSE)),0,VLOOKUP(B22,Data!$F$41:$J$69,3,FALSE))</f>
        <v>1.5</v>
      </c>
      <c r="G22" s="2" t="str">
        <f>IF(ISNA(VLOOKUP(B22,Data!$F$41:$J$69,4,FALSE)),0,VLOOKUP(B22,Data!$F$41:$J$69,4,FALSE))</f>
        <v>Signal</v>
      </c>
      <c r="H22" s="2" t="str">
        <f>IF(ISNA(VLOOKUP(B22,Data!$F$41:$L$69,6,FALSE)),0,VLOOKUP(B22,Data!$F$41:$L$69,6,FALSE))</f>
        <v>DT</v>
      </c>
      <c r="I22" s="2">
        <f t="shared" si="19"/>
        <v>0</v>
      </c>
      <c r="J22" s="2">
        <f t="shared" si="20"/>
        <v>100</v>
      </c>
      <c r="K22" s="2">
        <f t="shared" si="21"/>
        <v>0</v>
      </c>
      <c r="L22" s="32">
        <f t="shared" si="22"/>
        <v>0</v>
      </c>
      <c r="M22" s="28">
        <f t="shared" si="23"/>
        <v>0</v>
      </c>
      <c r="N22" s="16">
        <f t="shared" si="24"/>
        <v>0</v>
      </c>
      <c r="O22" s="16">
        <f t="shared" si="25"/>
        <v>0</v>
      </c>
      <c r="P22" s="16">
        <f t="shared" si="26"/>
        <v>0</v>
      </c>
      <c r="Q22" s="16">
        <f t="shared" si="27"/>
        <v>0</v>
      </c>
      <c r="R22" s="16">
        <f t="shared" si="28"/>
        <v>0</v>
      </c>
      <c r="S22" s="16"/>
      <c r="T22" s="16"/>
      <c r="U22" s="27"/>
      <c r="V22" s="29"/>
      <c r="W22" s="29"/>
      <c r="X22" s="16"/>
      <c r="Y22" s="27"/>
      <c r="Z22" s="9"/>
    </row>
    <row r="23" spans="1:27" ht="32.25" customHeight="1" x14ac:dyDescent="0.25">
      <c r="A23" s="2"/>
      <c r="B23" s="41" t="s">
        <v>416</v>
      </c>
      <c r="C23" s="39">
        <v>1</v>
      </c>
      <c r="D23" s="2">
        <f>IF(ISNA(VLOOKUP(B23,Data!$F$41:$J$69,2,FALSE)),0,VLOOKUP(B23,Data!$F$41:$J$69,2,FALSE))</f>
        <v>2</v>
      </c>
      <c r="E23" s="2">
        <f t="shared" si="18"/>
        <v>2</v>
      </c>
      <c r="F23" s="2">
        <f>IF(ISNA(VLOOKUP(B23,Data!$F$41:$J$69,3,FALSE)),0,VLOOKUP(B23,Data!$F$41:$J$69,3,FALSE))</f>
        <v>1.5</v>
      </c>
      <c r="G23" s="2" t="str">
        <f>IF(ISNA(VLOOKUP(B23,Data!$F$41:$J$69,4,FALSE)),0,VLOOKUP(B23,Data!$F$41:$J$69,4,FALSE))</f>
        <v>Signal</v>
      </c>
      <c r="H23" s="2" t="str">
        <f>IF(ISNA(VLOOKUP(B23,Data!$F$41:$L$69,6,FALSE)),0,VLOOKUP(B23,Data!$F$41:$L$69,6,FALSE))</f>
        <v>FP</v>
      </c>
      <c r="I23" s="2">
        <f t="shared" si="19"/>
        <v>0</v>
      </c>
      <c r="J23" s="2">
        <f t="shared" si="20"/>
        <v>0</v>
      </c>
      <c r="K23" s="2">
        <f t="shared" si="21"/>
        <v>100</v>
      </c>
      <c r="L23" s="32">
        <f t="shared" si="22"/>
        <v>0.49180327868852458</v>
      </c>
      <c r="M23" s="28">
        <f t="shared" si="23"/>
        <v>0</v>
      </c>
      <c r="N23" s="16">
        <f t="shared" si="24"/>
        <v>0</v>
      </c>
      <c r="O23" s="16">
        <f t="shared" si="25"/>
        <v>0</v>
      </c>
      <c r="P23" s="16">
        <f t="shared" si="26"/>
        <v>0</v>
      </c>
      <c r="Q23" s="16">
        <f t="shared" si="27"/>
        <v>0</v>
      </c>
      <c r="R23" s="16">
        <f t="shared" si="28"/>
        <v>0.5</v>
      </c>
      <c r="S23" s="16"/>
      <c r="T23" s="16"/>
      <c r="U23" s="27"/>
      <c r="V23" s="29"/>
      <c r="W23" s="29"/>
      <c r="X23" s="16"/>
      <c r="Y23" s="27"/>
      <c r="Z23" s="9"/>
    </row>
    <row r="24" spans="1:27" ht="32.25" customHeight="1" x14ac:dyDescent="0.25">
      <c r="A24" s="2"/>
      <c r="B24" s="41" t="s">
        <v>405</v>
      </c>
      <c r="C24" s="39">
        <v>0</v>
      </c>
      <c r="D24" s="2">
        <f>IF(ISNA(VLOOKUP(B24,Data!$F$41:$J$69,2,FALSE)),0,VLOOKUP(B24,Data!$F$41:$J$69,2,FALSE))</f>
        <v>3</v>
      </c>
      <c r="E24" s="2">
        <f t="shared" si="18"/>
        <v>0</v>
      </c>
      <c r="F24" s="2">
        <f>IF(ISNA(VLOOKUP(B24,Data!$F$41:$J$69,3,FALSE)),0,VLOOKUP(B24,Data!$F$41:$J$69,3,FALSE))</f>
        <v>1.5</v>
      </c>
      <c r="G24" s="2" t="str">
        <f>IF(ISNA(VLOOKUP(B24,Data!$F$41:$J$69,4,FALSE)),0,VLOOKUP(B24,Data!$F$41:$J$69,4,FALSE))</f>
        <v>Power</v>
      </c>
      <c r="H24" s="2" t="str">
        <f>IF(ISNA(VLOOKUP(B24,Data!$F$41:$L$69,6,FALSE)),0,VLOOKUP(B24,Data!$F$41:$L$69,6,FALSE))</f>
        <v>ST</v>
      </c>
      <c r="I24" s="2">
        <f t="shared" si="19"/>
        <v>30</v>
      </c>
      <c r="J24" s="2">
        <f t="shared" si="20"/>
        <v>0</v>
      </c>
      <c r="K24" s="2">
        <f t="shared" si="21"/>
        <v>0</v>
      </c>
      <c r="L24" s="32">
        <f t="shared" si="22"/>
        <v>0</v>
      </c>
      <c r="M24" s="28">
        <f t="shared" si="23"/>
        <v>0</v>
      </c>
      <c r="N24" s="16">
        <f t="shared" si="24"/>
        <v>0</v>
      </c>
      <c r="O24" s="16">
        <f t="shared" si="25"/>
        <v>0</v>
      </c>
      <c r="P24" s="16">
        <f t="shared" si="26"/>
        <v>0</v>
      </c>
      <c r="Q24" s="16">
        <f t="shared" si="27"/>
        <v>0</v>
      </c>
      <c r="R24" s="16">
        <f t="shared" si="28"/>
        <v>0</v>
      </c>
      <c r="S24" s="16"/>
      <c r="T24" s="16"/>
      <c r="U24" s="27"/>
      <c r="V24" s="29"/>
      <c r="W24" s="29"/>
      <c r="X24" s="16"/>
      <c r="Y24" s="27"/>
      <c r="Z24" s="9"/>
    </row>
    <row r="25" spans="1:27" ht="32.25" customHeight="1" x14ac:dyDescent="0.25">
      <c r="A25" s="2"/>
      <c r="B25" s="41" t="s">
        <v>406</v>
      </c>
      <c r="C25" s="39">
        <v>0</v>
      </c>
      <c r="D25" s="2">
        <f>IF(ISNA(VLOOKUP(B25,Data!$F$41:$J$69,2,FALSE)),0,VLOOKUP(B25,Data!$F$41:$J$69,2,FALSE))</f>
        <v>6</v>
      </c>
      <c r="E25" s="2">
        <f t="shared" si="18"/>
        <v>0</v>
      </c>
      <c r="F25" s="2">
        <f>IF(ISNA(VLOOKUP(B25,Data!$F$41:$J$69,3,FALSE)),0,VLOOKUP(B25,Data!$F$41:$J$69,3,FALSE))</f>
        <v>1.5</v>
      </c>
      <c r="G25" s="2" t="str">
        <f>IF(ISNA(VLOOKUP(B25,Data!$F$41:$J$69,4,FALSE)),0,VLOOKUP(B25,Data!$F$41:$J$69,4,FALSE))</f>
        <v>Power</v>
      </c>
      <c r="H25" s="2" t="str">
        <f>IF(ISNA(VLOOKUP(B25,Data!$F$41:$L$69,6,FALSE)),0,VLOOKUP(B25,Data!$F$41:$L$69,6,FALSE))</f>
        <v>FP</v>
      </c>
      <c r="I25" s="2">
        <f t="shared" si="19"/>
        <v>0</v>
      </c>
      <c r="J25" s="2">
        <f t="shared" si="20"/>
        <v>0</v>
      </c>
      <c r="K25" s="2">
        <f t="shared" si="21"/>
        <v>100</v>
      </c>
      <c r="L25" s="32">
        <f t="shared" si="22"/>
        <v>0</v>
      </c>
      <c r="M25" s="28">
        <f t="shared" si="23"/>
        <v>0</v>
      </c>
      <c r="N25" s="16">
        <f t="shared" si="24"/>
        <v>0</v>
      </c>
      <c r="O25" s="16">
        <f t="shared" si="25"/>
        <v>0</v>
      </c>
      <c r="P25" s="16">
        <f t="shared" si="26"/>
        <v>0</v>
      </c>
      <c r="Q25" s="16">
        <f t="shared" si="27"/>
        <v>0</v>
      </c>
      <c r="R25" s="16">
        <f t="shared" si="28"/>
        <v>0</v>
      </c>
      <c r="S25" s="16"/>
      <c r="T25" s="16"/>
      <c r="U25" s="27"/>
      <c r="V25" s="29"/>
      <c r="W25" s="29"/>
      <c r="X25" s="16"/>
      <c r="Y25" s="27"/>
      <c r="Z25" s="9"/>
    </row>
    <row r="26" spans="1:27" ht="30" customHeight="1" x14ac:dyDescent="0.25">
      <c r="A26" s="2"/>
      <c r="B26" s="41" t="s">
        <v>305</v>
      </c>
      <c r="C26" s="39">
        <v>0</v>
      </c>
      <c r="D26" s="2">
        <f>IF(ISNA(VLOOKUP(B26,Data!$F$41:$J$69,2,FALSE)),0,VLOOKUP(B26,Data!$F$41:$J$69,2,FALSE))</f>
        <v>2</v>
      </c>
      <c r="E26" s="2">
        <f t="shared" si="18"/>
        <v>0</v>
      </c>
      <c r="F26" s="2">
        <f>IF(ISNA(VLOOKUP(B26,Data!$F$41:$J$69,3,FALSE)),0,VLOOKUP(B26,Data!$F$41:$J$69,3,FALSE))</f>
        <v>1.5</v>
      </c>
      <c r="G26" s="2" t="str">
        <f>IF(ISNA(VLOOKUP(B26,Data!$F$41:$J$69,4,FALSE)),0,VLOOKUP(B26,Data!$F$41:$J$69,4,FALSE))</f>
        <v>Signal</v>
      </c>
      <c r="H26" s="2" t="str">
        <f>IF(ISNA(VLOOKUP(B26,Data!$F$41:$L$69,6,FALSE)),0,VLOOKUP(B26,Data!$F$41:$L$69,6,FALSE))</f>
        <v>ST</v>
      </c>
      <c r="I26" s="2">
        <f t="shared" si="19"/>
        <v>30</v>
      </c>
      <c r="J26" s="2">
        <f t="shared" si="20"/>
        <v>0</v>
      </c>
      <c r="K26" s="2">
        <f t="shared" si="21"/>
        <v>0</v>
      </c>
      <c r="L26" s="32">
        <f t="shared" si="22"/>
        <v>0</v>
      </c>
      <c r="M26" s="28">
        <f t="shared" si="23"/>
        <v>0</v>
      </c>
      <c r="N26" s="16">
        <f t="shared" si="24"/>
        <v>0</v>
      </c>
      <c r="O26" s="16">
        <f t="shared" si="25"/>
        <v>0</v>
      </c>
      <c r="P26" s="16">
        <f t="shared" si="26"/>
        <v>0</v>
      </c>
      <c r="Q26" s="16">
        <f t="shared" si="27"/>
        <v>0</v>
      </c>
      <c r="R26" s="16">
        <f t="shared" si="28"/>
        <v>0</v>
      </c>
      <c r="S26" s="16"/>
      <c r="T26" s="16"/>
      <c r="U26" s="27"/>
      <c r="V26" s="29"/>
      <c r="W26" s="29"/>
      <c r="X26" s="16"/>
      <c r="Y26" s="27"/>
      <c r="Z26" s="9"/>
      <c r="AA26" s="256" t="s">
        <v>313</v>
      </c>
    </row>
    <row r="27" spans="1:27" ht="39" customHeight="1" x14ac:dyDescent="0.25">
      <c r="A27" s="10"/>
      <c r="B27" s="14" t="s">
        <v>310</v>
      </c>
      <c r="C27" s="34"/>
      <c r="D27" s="34"/>
      <c r="E27" s="34">
        <f>SUM(E5:E26)</f>
        <v>27</v>
      </c>
      <c r="F27" s="34"/>
      <c r="G27" s="34"/>
      <c r="H27" s="34"/>
      <c r="I27" s="34"/>
      <c r="J27" s="34"/>
      <c r="K27" s="34"/>
      <c r="L27" s="19">
        <f>CEILING(SUM(L5:L26),1)</f>
        <v>3</v>
      </c>
      <c r="M27" s="19">
        <f>SUM(M5:M26)</f>
        <v>195</v>
      </c>
      <c r="N27" s="17">
        <f>SUM(N5:N26)*$I$4*1.5</f>
        <v>45</v>
      </c>
      <c r="O27" s="17">
        <f>SUM(O5:O26)*$J$4*1.5</f>
        <v>150</v>
      </c>
      <c r="P27" s="17">
        <f>CEILING(SUM(P5:P26),1)*$I$4*1.5</f>
        <v>90</v>
      </c>
      <c r="Q27" s="17">
        <f>CEILING(SUM(Q5:Q26),1)*$J$4*1.5</f>
        <v>300</v>
      </c>
      <c r="R27" s="17">
        <f>CEILING(SUM(R5:R26),1)*$K$4*1.5</f>
        <v>150</v>
      </c>
      <c r="S27" s="17">
        <f>N27</f>
        <v>45</v>
      </c>
      <c r="T27" s="17">
        <f>SUM(O27:R27)</f>
        <v>690</v>
      </c>
      <c r="U27" s="18">
        <f>CEILING((S27+T27)/10,1)+$A$2*4</f>
        <v>82</v>
      </c>
      <c r="V27" s="38">
        <f>L27*1000</f>
        <v>3000</v>
      </c>
      <c r="W27" s="38">
        <f>M27*16</f>
        <v>3120</v>
      </c>
      <c r="X27" s="37">
        <f>20*T27+30*S27</f>
        <v>15150</v>
      </c>
      <c r="Y27" s="36">
        <f>U27*50</f>
        <v>4100</v>
      </c>
      <c r="Z27" s="361">
        <f>SUM(V27:Y27)</f>
        <v>25370</v>
      </c>
      <c r="AA27" s="360">
        <f>(S27+T27)</f>
        <v>735</v>
      </c>
    </row>
    <row r="28" spans="1:27" ht="19.5" customHeight="1" x14ac:dyDescent="0.25">
      <c r="B28" s="13"/>
      <c r="C28"/>
      <c r="D28"/>
      <c r="E28"/>
      <c r="F28"/>
      <c r="G28"/>
      <c r="H28"/>
      <c r="N28"/>
      <c r="O28"/>
      <c r="P28"/>
      <c r="Q28"/>
      <c r="R28"/>
      <c r="S28"/>
      <c r="T28"/>
      <c r="U28"/>
      <c r="V28" s="2" t="s">
        <v>780</v>
      </c>
      <c r="W28" s="2" t="s">
        <v>767</v>
      </c>
      <c r="X28" s="9" t="s">
        <v>778</v>
      </c>
      <c r="Y28" s="9" t="s">
        <v>702</v>
      </c>
      <c r="Z28" s="361"/>
      <c r="AA28" s="360"/>
    </row>
    <row r="29" spans="1:27" ht="16.5" customHeight="1" x14ac:dyDescent="0.25">
      <c r="A29"/>
      <c r="B29"/>
      <c r="C29"/>
      <c r="D29"/>
      <c r="E29"/>
      <c r="F29"/>
      <c r="G29"/>
      <c r="H29"/>
      <c r="N29"/>
      <c r="O29"/>
      <c r="P29"/>
      <c r="Q29"/>
      <c r="R29"/>
      <c r="S29"/>
      <c r="T29"/>
      <c r="U29"/>
      <c r="V29" s="9"/>
      <c r="W29" s="9"/>
      <c r="X29" s="9" t="s">
        <v>779</v>
      </c>
      <c r="Y29" s="9"/>
      <c r="Z29" s="361"/>
      <c r="AA29" s="360"/>
    </row>
    <row r="30" spans="1:27" ht="16.5" customHeight="1" x14ac:dyDescent="0.25">
      <c r="A30"/>
      <c r="B30"/>
      <c r="C30"/>
      <c r="D30"/>
      <c r="E30"/>
      <c r="F30"/>
      <c r="G30"/>
      <c r="H30"/>
      <c r="N30"/>
      <c r="O30"/>
      <c r="P30"/>
      <c r="Q30"/>
      <c r="R30"/>
      <c r="S30"/>
      <c r="T30"/>
      <c r="U30"/>
      <c r="V30"/>
    </row>
    <row r="31" spans="1:27" ht="16.5" customHeight="1" x14ac:dyDescent="0.25">
      <c r="A31"/>
      <c r="B31"/>
      <c r="C31"/>
      <c r="D31"/>
      <c r="E31"/>
      <c r="F31"/>
      <c r="G31"/>
      <c r="H31"/>
      <c r="N31"/>
      <c r="O31"/>
      <c r="P31"/>
      <c r="Q31"/>
      <c r="R31"/>
      <c r="S31"/>
      <c r="T31"/>
      <c r="U31"/>
      <c r="V31"/>
    </row>
    <row r="32" spans="1:27" ht="16.5" customHeight="1" x14ac:dyDescent="0.25">
      <c r="A32"/>
      <c r="B32"/>
      <c r="C32"/>
      <c r="D32"/>
      <c r="E32"/>
      <c r="F32"/>
      <c r="G32"/>
      <c r="H32"/>
      <c r="N32"/>
      <c r="O32"/>
      <c r="P32"/>
      <c r="Q32"/>
      <c r="R32"/>
      <c r="S32"/>
      <c r="T32"/>
      <c r="U32"/>
      <c r="V32"/>
    </row>
    <row r="33" spans="1:24" ht="39" customHeight="1" x14ac:dyDescent="0.25">
      <c r="A33"/>
      <c r="B33"/>
      <c r="C33"/>
      <c r="D33"/>
      <c r="E33"/>
      <c r="F33"/>
      <c r="G33"/>
      <c r="H33"/>
      <c r="N33"/>
      <c r="O33"/>
      <c r="P33"/>
      <c r="Q33"/>
      <c r="R33"/>
      <c r="S33"/>
      <c r="T33"/>
      <c r="U33"/>
      <c r="V33"/>
    </row>
    <row r="34" spans="1:24" x14ac:dyDescent="0.25">
      <c r="B34" s="13"/>
      <c r="C34"/>
      <c r="D34"/>
      <c r="E34"/>
      <c r="F34"/>
      <c r="G34"/>
      <c r="H34"/>
      <c r="N34"/>
      <c r="O34"/>
      <c r="P34"/>
      <c r="Q34"/>
      <c r="R34"/>
      <c r="S34"/>
      <c r="T34"/>
      <c r="U34"/>
      <c r="V34"/>
    </row>
    <row r="35" spans="1:24" x14ac:dyDescent="0.25">
      <c r="B35" s="13"/>
      <c r="C35"/>
      <c r="D35"/>
      <c r="E35"/>
      <c r="F35"/>
      <c r="G35"/>
      <c r="H35"/>
      <c r="N35" s="42"/>
      <c r="O35" s="42"/>
      <c r="P35" s="42"/>
      <c r="Q35" s="42"/>
      <c r="R35" s="42"/>
      <c r="S35" s="42"/>
      <c r="T35" s="42"/>
      <c r="U35"/>
      <c r="V35"/>
      <c r="X35" s="13"/>
    </row>
    <row r="36" spans="1:24" x14ac:dyDescent="0.25">
      <c r="B36" s="13"/>
      <c r="C36"/>
      <c r="D36"/>
      <c r="E36"/>
      <c r="F36"/>
      <c r="G36"/>
      <c r="H36"/>
      <c r="N36"/>
      <c r="O36"/>
      <c r="P36"/>
      <c r="Q36"/>
      <c r="R36"/>
      <c r="S36"/>
      <c r="T36"/>
      <c r="U36"/>
      <c r="V36"/>
    </row>
    <row r="37" spans="1:24" x14ac:dyDescent="0.25">
      <c r="B37" s="13"/>
      <c r="C37"/>
      <c r="D37"/>
      <c r="E37"/>
      <c r="F37"/>
      <c r="G37"/>
      <c r="H37"/>
      <c r="N37"/>
      <c r="O37"/>
      <c r="P37"/>
      <c r="Q37"/>
      <c r="R37"/>
      <c r="S37"/>
      <c r="T37"/>
      <c r="U37"/>
      <c r="V37"/>
    </row>
    <row r="38" spans="1:24" x14ac:dyDescent="0.25">
      <c r="B38" s="13"/>
      <c r="C38"/>
      <c r="D38"/>
      <c r="E38"/>
      <c r="F38"/>
      <c r="G38"/>
      <c r="H38"/>
      <c r="N38"/>
      <c r="O38"/>
      <c r="P38"/>
      <c r="Q38"/>
      <c r="R38"/>
      <c r="S38"/>
      <c r="T38"/>
      <c r="U38"/>
      <c r="V38"/>
    </row>
    <row r="39" spans="1:24" x14ac:dyDescent="0.25">
      <c r="B39" s="13"/>
      <c r="C39"/>
      <c r="D39"/>
      <c r="E39"/>
      <c r="F39"/>
      <c r="G39"/>
      <c r="H39"/>
      <c r="N39"/>
      <c r="O39"/>
      <c r="P39"/>
      <c r="Q39"/>
      <c r="R39"/>
      <c r="S39"/>
      <c r="T39"/>
      <c r="U39"/>
      <c r="V39"/>
    </row>
    <row r="40" spans="1:24" x14ac:dyDescent="0.25">
      <c r="B40" s="13"/>
      <c r="C40"/>
      <c r="D40"/>
      <c r="E40"/>
      <c r="F40"/>
      <c r="G40"/>
      <c r="H40"/>
      <c r="N40"/>
      <c r="O40"/>
      <c r="P40"/>
      <c r="Q40"/>
      <c r="R40"/>
      <c r="S40"/>
      <c r="T40"/>
      <c r="U40"/>
      <c r="V40"/>
    </row>
    <row r="41" spans="1:24" x14ac:dyDescent="0.25">
      <c r="B41" s="13"/>
      <c r="C41"/>
      <c r="D41"/>
      <c r="E41"/>
      <c r="F41"/>
      <c r="G41"/>
      <c r="H41"/>
      <c r="N41"/>
      <c r="O41"/>
      <c r="P41"/>
      <c r="Q41"/>
      <c r="R41"/>
      <c r="S41"/>
      <c r="T41"/>
      <c r="U41"/>
      <c r="V41"/>
    </row>
    <row r="42" spans="1:24" x14ac:dyDescent="0.25">
      <c r="B42" s="13"/>
      <c r="C42"/>
      <c r="D42"/>
      <c r="E42"/>
      <c r="F42"/>
      <c r="G42"/>
      <c r="H42"/>
      <c r="N42"/>
      <c r="O42"/>
      <c r="P42"/>
      <c r="Q42"/>
      <c r="R42"/>
      <c r="S42"/>
      <c r="T42"/>
      <c r="U42"/>
      <c r="V42"/>
    </row>
    <row r="43" spans="1:24" x14ac:dyDescent="0.25">
      <c r="B43" s="13"/>
      <c r="C43"/>
      <c r="D43"/>
      <c r="E43"/>
      <c r="F43"/>
      <c r="G43"/>
      <c r="H43"/>
      <c r="N43"/>
      <c r="O43"/>
      <c r="P43"/>
      <c r="Q43"/>
      <c r="R43"/>
      <c r="S43"/>
      <c r="T43"/>
      <c r="U43"/>
      <c r="V43"/>
    </row>
    <row r="44" spans="1:24" x14ac:dyDescent="0.25">
      <c r="B44" s="13"/>
      <c r="C44"/>
      <c r="D44"/>
      <c r="E44"/>
      <c r="F44"/>
      <c r="G44"/>
      <c r="H44"/>
      <c r="N44"/>
      <c r="O44"/>
      <c r="P44"/>
      <c r="Q44"/>
      <c r="R44"/>
      <c r="S44"/>
      <c r="T44"/>
      <c r="U44"/>
      <c r="V44"/>
    </row>
    <row r="45" spans="1:24" x14ac:dyDescent="0.25">
      <c r="B45" s="13"/>
      <c r="C45"/>
      <c r="D45"/>
      <c r="E45"/>
      <c r="F45"/>
      <c r="G45"/>
      <c r="H45"/>
      <c r="N45"/>
      <c r="O45"/>
      <c r="P45"/>
      <c r="Q45"/>
      <c r="R45"/>
      <c r="S45"/>
      <c r="T45"/>
      <c r="U45"/>
      <c r="V45"/>
    </row>
    <row r="46" spans="1:24" x14ac:dyDescent="0.25">
      <c r="B46" s="13"/>
      <c r="C46"/>
      <c r="D46"/>
      <c r="E46"/>
      <c r="F46"/>
      <c r="G46"/>
      <c r="H46"/>
      <c r="N46"/>
      <c r="O46"/>
      <c r="P46"/>
      <c r="Q46"/>
      <c r="R46"/>
      <c r="S46"/>
      <c r="T46"/>
      <c r="U46"/>
      <c r="V46"/>
    </row>
    <row r="47" spans="1:24" x14ac:dyDescent="0.25">
      <c r="B47" s="13"/>
      <c r="C47"/>
      <c r="D47"/>
      <c r="E47"/>
      <c r="F47"/>
      <c r="G47"/>
      <c r="H47"/>
      <c r="N47"/>
      <c r="O47"/>
      <c r="P47"/>
      <c r="Q47"/>
      <c r="R47"/>
      <c r="S47"/>
      <c r="T47"/>
      <c r="U47"/>
      <c r="V47"/>
    </row>
    <row r="48" spans="1:24" x14ac:dyDescent="0.25">
      <c r="B48" s="13"/>
      <c r="C48"/>
      <c r="D48"/>
      <c r="E48"/>
      <c r="F48"/>
      <c r="G48"/>
      <c r="H48"/>
      <c r="N48"/>
      <c r="O48"/>
      <c r="P48"/>
      <c r="Q48"/>
      <c r="R48"/>
      <c r="S48"/>
      <c r="T48"/>
      <c r="U48"/>
      <c r="V48"/>
    </row>
    <row r="49" spans="2:22" x14ac:dyDescent="0.25">
      <c r="B49" s="13"/>
      <c r="C49"/>
      <c r="D49"/>
      <c r="E49"/>
      <c r="F49"/>
      <c r="G49"/>
      <c r="H49"/>
      <c r="N49"/>
      <c r="O49"/>
      <c r="P49"/>
      <c r="Q49"/>
      <c r="R49"/>
      <c r="S49"/>
      <c r="T49"/>
      <c r="U49"/>
      <c r="V49"/>
    </row>
    <row r="50" spans="2:22" x14ac:dyDescent="0.25">
      <c r="B50" s="13"/>
      <c r="C50"/>
      <c r="D50"/>
      <c r="E50"/>
      <c r="F50"/>
      <c r="G50"/>
      <c r="H50"/>
      <c r="N50"/>
      <c r="O50"/>
      <c r="P50"/>
      <c r="Q50"/>
      <c r="R50"/>
      <c r="S50"/>
      <c r="T50"/>
      <c r="U50"/>
      <c r="V50"/>
    </row>
    <row r="51" spans="2:22" x14ac:dyDescent="0.25">
      <c r="B51" s="13"/>
      <c r="C51"/>
      <c r="D51"/>
      <c r="E51"/>
      <c r="F51"/>
      <c r="G51"/>
      <c r="H51"/>
      <c r="N51"/>
      <c r="O51"/>
      <c r="P51"/>
      <c r="Q51"/>
      <c r="R51"/>
      <c r="S51"/>
      <c r="T51"/>
      <c r="U51"/>
      <c r="V51"/>
    </row>
    <row r="52" spans="2:22" x14ac:dyDescent="0.25">
      <c r="B52" s="13"/>
      <c r="C52"/>
      <c r="D52"/>
      <c r="E52"/>
      <c r="F52"/>
      <c r="G52"/>
      <c r="H52"/>
      <c r="N52"/>
      <c r="O52"/>
      <c r="P52"/>
      <c r="Q52"/>
      <c r="R52"/>
      <c r="S52"/>
      <c r="T52"/>
      <c r="U52"/>
      <c r="V52"/>
    </row>
    <row r="53" spans="2:22" x14ac:dyDescent="0.25">
      <c r="B53" s="13"/>
      <c r="C53"/>
      <c r="D53"/>
      <c r="E53"/>
      <c r="F53"/>
      <c r="G53"/>
      <c r="H53"/>
      <c r="N53"/>
      <c r="O53"/>
      <c r="P53"/>
      <c r="Q53"/>
      <c r="R53"/>
      <c r="S53"/>
      <c r="T53"/>
      <c r="U53"/>
      <c r="V53"/>
    </row>
    <row r="54" spans="2:22" x14ac:dyDescent="0.25">
      <c r="B54" s="13"/>
      <c r="C54"/>
      <c r="D54"/>
      <c r="E54"/>
      <c r="F54"/>
      <c r="G54"/>
      <c r="H54"/>
      <c r="N54"/>
      <c r="O54"/>
      <c r="P54"/>
      <c r="Q54"/>
      <c r="R54"/>
      <c r="S54"/>
      <c r="T54"/>
      <c r="U54"/>
      <c r="V54"/>
    </row>
    <row r="55" spans="2:22" x14ac:dyDescent="0.25">
      <c r="B55" s="13"/>
      <c r="C55"/>
      <c r="D55"/>
      <c r="E55"/>
      <c r="F55"/>
      <c r="G55"/>
      <c r="H55"/>
      <c r="N55"/>
      <c r="O55"/>
      <c r="P55"/>
      <c r="Q55"/>
      <c r="R55"/>
      <c r="S55"/>
      <c r="T55"/>
      <c r="U55"/>
      <c r="V55"/>
    </row>
    <row r="56" spans="2:22" x14ac:dyDescent="0.25">
      <c r="B56" s="13"/>
      <c r="C56"/>
      <c r="D56"/>
      <c r="E56"/>
      <c r="F56"/>
      <c r="G56"/>
      <c r="H56"/>
      <c r="N56"/>
      <c r="O56"/>
      <c r="P56"/>
      <c r="Q56"/>
      <c r="R56"/>
      <c r="S56"/>
      <c r="T56"/>
      <c r="U56"/>
      <c r="V56"/>
    </row>
    <row r="57" spans="2:22" x14ac:dyDescent="0.25">
      <c r="B57" s="13"/>
      <c r="C57"/>
      <c r="D57"/>
      <c r="E57"/>
      <c r="F57"/>
      <c r="G57"/>
      <c r="H57"/>
      <c r="N57"/>
      <c r="O57"/>
      <c r="P57"/>
      <c r="Q57"/>
      <c r="R57"/>
      <c r="S57"/>
      <c r="T57"/>
      <c r="U57"/>
      <c r="V57"/>
    </row>
    <row r="58" spans="2:22" x14ac:dyDescent="0.25">
      <c r="B58" s="13"/>
      <c r="C58"/>
      <c r="D58"/>
      <c r="E58"/>
      <c r="F58"/>
      <c r="G58"/>
      <c r="H58"/>
      <c r="N58"/>
      <c r="O58"/>
      <c r="P58"/>
      <c r="Q58"/>
      <c r="R58"/>
      <c r="S58"/>
      <c r="T58"/>
      <c r="U58"/>
      <c r="V58"/>
    </row>
    <row r="59" spans="2:22" x14ac:dyDescent="0.25">
      <c r="B59" s="13"/>
      <c r="C59"/>
      <c r="D59"/>
      <c r="E59"/>
      <c r="F59"/>
      <c r="G59"/>
      <c r="H59"/>
      <c r="N59"/>
      <c r="O59"/>
      <c r="P59"/>
      <c r="Q59"/>
      <c r="R59"/>
      <c r="S59"/>
      <c r="T59"/>
      <c r="U59"/>
      <c r="V59"/>
    </row>
    <row r="60" spans="2:22" x14ac:dyDescent="0.25">
      <c r="B60" s="13"/>
      <c r="C60"/>
      <c r="D60"/>
      <c r="E60"/>
      <c r="F60"/>
      <c r="G60"/>
      <c r="H60"/>
      <c r="N60"/>
      <c r="O60"/>
      <c r="P60"/>
      <c r="Q60"/>
      <c r="R60"/>
      <c r="S60"/>
      <c r="T60"/>
      <c r="U60"/>
      <c r="V60"/>
    </row>
    <row r="61" spans="2:22" x14ac:dyDescent="0.25">
      <c r="B61" s="13"/>
      <c r="C61"/>
      <c r="D61"/>
      <c r="E61"/>
      <c r="F61"/>
      <c r="G61"/>
      <c r="H61"/>
      <c r="N61"/>
      <c r="O61"/>
      <c r="P61"/>
      <c r="Q61"/>
      <c r="R61"/>
      <c r="S61"/>
      <c r="T61"/>
      <c r="U61"/>
      <c r="V61"/>
    </row>
    <row r="62" spans="2:22" x14ac:dyDescent="0.25">
      <c r="B62" s="13"/>
      <c r="C62"/>
      <c r="D62"/>
      <c r="E62"/>
      <c r="F62"/>
      <c r="G62"/>
      <c r="H62"/>
      <c r="N62"/>
      <c r="O62"/>
      <c r="P62"/>
      <c r="Q62"/>
      <c r="R62"/>
      <c r="S62"/>
      <c r="T62"/>
      <c r="U62"/>
      <c r="V62"/>
    </row>
    <row r="63" spans="2:22" x14ac:dyDescent="0.25">
      <c r="B63" s="13"/>
      <c r="C63"/>
      <c r="D63"/>
      <c r="E63"/>
      <c r="F63"/>
      <c r="G63"/>
      <c r="H63"/>
      <c r="N63"/>
      <c r="O63"/>
      <c r="P63"/>
      <c r="Q63"/>
      <c r="R63"/>
      <c r="S63"/>
      <c r="T63"/>
      <c r="U63"/>
      <c r="V63"/>
    </row>
    <row r="64" spans="2:22" x14ac:dyDescent="0.25">
      <c r="B64" s="13"/>
      <c r="C64"/>
      <c r="D64"/>
      <c r="E64"/>
      <c r="F64"/>
      <c r="G64"/>
      <c r="H64"/>
      <c r="N64"/>
      <c r="O64"/>
      <c r="P64"/>
      <c r="Q64"/>
      <c r="R64"/>
      <c r="S64"/>
      <c r="T64"/>
      <c r="U64"/>
      <c r="V64"/>
    </row>
    <row r="65" spans="2:22" x14ac:dyDescent="0.25">
      <c r="B65" s="13"/>
      <c r="C65"/>
      <c r="D65"/>
      <c r="E65"/>
      <c r="F65"/>
      <c r="G65"/>
      <c r="H65"/>
      <c r="N65"/>
      <c r="O65"/>
      <c r="P65"/>
      <c r="Q65"/>
      <c r="R65"/>
      <c r="S65"/>
      <c r="T65"/>
      <c r="U65"/>
      <c r="V65"/>
    </row>
    <row r="66" spans="2:22" x14ac:dyDescent="0.25">
      <c r="B66" s="13"/>
      <c r="C66"/>
      <c r="D66"/>
      <c r="E66"/>
      <c r="F66"/>
      <c r="G66"/>
      <c r="H66"/>
      <c r="N66"/>
      <c r="O66"/>
      <c r="P66"/>
      <c r="Q66"/>
      <c r="R66"/>
      <c r="S66"/>
      <c r="T66"/>
      <c r="U66"/>
      <c r="V66"/>
    </row>
    <row r="67" spans="2:22" x14ac:dyDescent="0.25">
      <c r="B67" s="13"/>
      <c r="C67"/>
      <c r="D67"/>
      <c r="E67"/>
      <c r="F67"/>
      <c r="G67"/>
      <c r="H67"/>
      <c r="N67"/>
      <c r="O67"/>
      <c r="P67"/>
      <c r="Q67"/>
      <c r="R67"/>
      <c r="S67"/>
      <c r="T67"/>
      <c r="U67"/>
      <c r="V67"/>
    </row>
    <row r="68" spans="2:22" x14ac:dyDescent="0.25">
      <c r="B68" s="13"/>
      <c r="C68"/>
      <c r="D68"/>
      <c r="E68"/>
      <c r="F68"/>
      <c r="G68"/>
      <c r="H68"/>
      <c r="N68"/>
      <c r="O68"/>
      <c r="P68"/>
      <c r="Q68"/>
      <c r="R68"/>
      <c r="S68"/>
      <c r="T68"/>
      <c r="U68"/>
      <c r="V68"/>
    </row>
    <row r="69" spans="2:22" x14ac:dyDescent="0.25">
      <c r="B69" s="13"/>
      <c r="C69"/>
      <c r="D69"/>
      <c r="E69"/>
      <c r="F69"/>
      <c r="G69"/>
      <c r="H69"/>
      <c r="N69"/>
      <c r="O69"/>
      <c r="P69"/>
      <c r="Q69"/>
      <c r="R69"/>
      <c r="S69"/>
      <c r="T69"/>
      <c r="U69"/>
      <c r="V69"/>
    </row>
    <row r="70" spans="2:22" x14ac:dyDescent="0.25">
      <c r="B70" s="13"/>
      <c r="C70"/>
      <c r="D70"/>
      <c r="E70"/>
      <c r="F70"/>
      <c r="G70"/>
      <c r="H70"/>
      <c r="N70"/>
      <c r="O70"/>
      <c r="P70"/>
      <c r="Q70"/>
      <c r="R70"/>
      <c r="S70"/>
      <c r="T70"/>
      <c r="U70"/>
      <c r="V70"/>
    </row>
    <row r="71" spans="2:22" x14ac:dyDescent="0.25">
      <c r="B71" s="13"/>
      <c r="C71"/>
      <c r="D71"/>
      <c r="E71"/>
      <c r="F71"/>
      <c r="G71"/>
      <c r="H71"/>
      <c r="N71"/>
      <c r="O71"/>
      <c r="P71"/>
      <c r="Q71"/>
      <c r="R71"/>
      <c r="S71"/>
      <c r="T71"/>
      <c r="U71"/>
      <c r="V71"/>
    </row>
    <row r="72" spans="2:22" x14ac:dyDescent="0.25">
      <c r="B72" s="13"/>
      <c r="C72"/>
      <c r="D72"/>
      <c r="E72"/>
      <c r="F72"/>
      <c r="G72"/>
      <c r="H72"/>
      <c r="N72"/>
      <c r="O72"/>
      <c r="P72"/>
      <c r="Q72"/>
      <c r="R72"/>
      <c r="S72"/>
      <c r="T72"/>
      <c r="U72"/>
      <c r="V72"/>
    </row>
    <row r="73" spans="2:22" x14ac:dyDescent="0.25">
      <c r="B73" s="13"/>
      <c r="C73"/>
      <c r="D73"/>
      <c r="E73"/>
      <c r="F73"/>
      <c r="G73"/>
      <c r="H73"/>
      <c r="N73"/>
      <c r="O73"/>
      <c r="P73"/>
      <c r="Q73"/>
      <c r="R73"/>
      <c r="S73"/>
      <c r="T73"/>
      <c r="U73"/>
      <c r="V73"/>
    </row>
    <row r="74" spans="2:22" x14ac:dyDescent="0.25">
      <c r="B74" s="13"/>
      <c r="C74"/>
      <c r="D74"/>
      <c r="E74"/>
      <c r="F74"/>
      <c r="G74"/>
      <c r="H74"/>
      <c r="N74"/>
      <c r="O74"/>
      <c r="P74"/>
      <c r="Q74"/>
      <c r="R74"/>
      <c r="S74"/>
      <c r="T74"/>
      <c r="U74"/>
      <c r="V74"/>
    </row>
    <row r="75" spans="2:22" x14ac:dyDescent="0.25">
      <c r="B75" s="13"/>
      <c r="C75"/>
      <c r="D75"/>
      <c r="E75"/>
      <c r="F75"/>
      <c r="G75"/>
      <c r="H75"/>
      <c r="N75"/>
      <c r="O75"/>
      <c r="P75"/>
      <c r="Q75"/>
      <c r="R75"/>
      <c r="S75"/>
      <c r="T75"/>
      <c r="U75"/>
      <c r="V75"/>
    </row>
    <row r="76" spans="2:22" x14ac:dyDescent="0.25">
      <c r="B76" s="13"/>
      <c r="C76"/>
      <c r="D76"/>
      <c r="E76"/>
      <c r="F76"/>
      <c r="G76"/>
      <c r="H76"/>
      <c r="N76"/>
      <c r="O76"/>
      <c r="P76"/>
      <c r="Q76"/>
      <c r="R76"/>
      <c r="S76"/>
      <c r="T76"/>
      <c r="U76"/>
      <c r="V76"/>
    </row>
    <row r="77" spans="2:22" x14ac:dyDescent="0.25">
      <c r="B77" s="13"/>
      <c r="C77"/>
      <c r="D77"/>
      <c r="E77"/>
      <c r="F77"/>
      <c r="G77"/>
      <c r="H77"/>
      <c r="N77"/>
      <c r="O77"/>
      <c r="P77"/>
      <c r="Q77"/>
      <c r="R77"/>
      <c r="S77"/>
      <c r="T77"/>
      <c r="U77"/>
      <c r="V77"/>
    </row>
    <row r="78" spans="2:22" x14ac:dyDescent="0.25">
      <c r="B78" s="13"/>
      <c r="C78"/>
      <c r="D78"/>
      <c r="E78"/>
      <c r="F78"/>
      <c r="G78"/>
      <c r="H78"/>
      <c r="N78"/>
      <c r="O78"/>
      <c r="P78"/>
      <c r="Q78"/>
      <c r="R78"/>
      <c r="S78"/>
      <c r="T78"/>
      <c r="U78"/>
      <c r="V78"/>
    </row>
    <row r="79" spans="2:22" x14ac:dyDescent="0.25">
      <c r="B79" s="13"/>
      <c r="C79"/>
      <c r="D79"/>
      <c r="E79"/>
      <c r="F79"/>
      <c r="G79"/>
      <c r="H79"/>
      <c r="N79"/>
      <c r="O79"/>
      <c r="P79"/>
      <c r="Q79"/>
      <c r="R79"/>
      <c r="S79"/>
      <c r="T79"/>
      <c r="U79"/>
      <c r="V79"/>
    </row>
    <row r="80" spans="2:22" x14ac:dyDescent="0.25">
      <c r="B80" s="13"/>
      <c r="C80"/>
      <c r="D80"/>
      <c r="E80"/>
      <c r="F80"/>
      <c r="G80"/>
      <c r="H80"/>
      <c r="N80"/>
      <c r="O80"/>
      <c r="P80"/>
      <c r="Q80"/>
      <c r="R80"/>
      <c r="S80"/>
      <c r="T80"/>
      <c r="U80"/>
      <c r="V80"/>
    </row>
    <row r="81" spans="2:22" x14ac:dyDescent="0.25">
      <c r="B81" s="13"/>
      <c r="C81"/>
      <c r="D81"/>
      <c r="E81"/>
      <c r="F81"/>
      <c r="G81"/>
      <c r="H81"/>
      <c r="N81"/>
      <c r="O81"/>
      <c r="P81"/>
      <c r="Q81"/>
      <c r="R81"/>
      <c r="S81"/>
      <c r="T81"/>
      <c r="U81"/>
      <c r="V81"/>
    </row>
    <row r="82" spans="2:22" x14ac:dyDescent="0.25">
      <c r="B82" s="13"/>
      <c r="C82"/>
      <c r="D82"/>
      <c r="E82"/>
      <c r="F82"/>
      <c r="G82"/>
      <c r="H82"/>
      <c r="N82"/>
      <c r="O82"/>
      <c r="P82"/>
      <c r="Q82"/>
      <c r="R82"/>
      <c r="S82"/>
      <c r="T82"/>
      <c r="U82"/>
      <c r="V82"/>
    </row>
    <row r="83" spans="2:22" x14ac:dyDescent="0.25">
      <c r="B83" s="13"/>
      <c r="C83"/>
      <c r="D83"/>
      <c r="E83"/>
      <c r="F83"/>
      <c r="G83"/>
      <c r="H83"/>
      <c r="N83"/>
      <c r="O83"/>
      <c r="P83"/>
      <c r="Q83"/>
      <c r="R83"/>
      <c r="S83"/>
      <c r="T83"/>
      <c r="U83"/>
      <c r="V83"/>
    </row>
    <row r="84" spans="2:22" x14ac:dyDescent="0.25">
      <c r="B84" s="13"/>
      <c r="C84"/>
      <c r="D84"/>
      <c r="E84"/>
      <c r="F84"/>
      <c r="G84"/>
      <c r="H84"/>
      <c r="N84"/>
      <c r="O84"/>
      <c r="P84"/>
      <c r="Q84"/>
      <c r="R84"/>
      <c r="S84"/>
      <c r="T84"/>
      <c r="U84"/>
      <c r="V84"/>
    </row>
    <row r="85" spans="2:22" x14ac:dyDescent="0.25">
      <c r="B85" s="13"/>
      <c r="C85"/>
      <c r="D85"/>
      <c r="E85"/>
      <c r="F85"/>
      <c r="G85"/>
      <c r="H85"/>
      <c r="N85"/>
      <c r="O85"/>
      <c r="P85"/>
      <c r="Q85"/>
      <c r="R85"/>
      <c r="S85"/>
      <c r="T85"/>
      <c r="U85"/>
      <c r="V85"/>
    </row>
    <row r="86" spans="2:22" x14ac:dyDescent="0.25">
      <c r="B86" s="13"/>
      <c r="C86"/>
      <c r="D86"/>
      <c r="E86"/>
      <c r="F86"/>
      <c r="G86"/>
      <c r="H86"/>
      <c r="N86"/>
      <c r="O86"/>
      <c r="P86"/>
      <c r="Q86"/>
      <c r="R86"/>
      <c r="S86"/>
      <c r="T86"/>
      <c r="U86"/>
      <c r="V86"/>
    </row>
    <row r="87" spans="2:22" x14ac:dyDescent="0.25">
      <c r="B87" s="13"/>
      <c r="C87"/>
      <c r="D87"/>
      <c r="E87"/>
      <c r="F87"/>
      <c r="G87"/>
      <c r="H87"/>
      <c r="N87"/>
      <c r="O87"/>
      <c r="P87"/>
      <c r="Q87"/>
      <c r="R87"/>
      <c r="S87"/>
      <c r="T87"/>
      <c r="U87"/>
      <c r="V87"/>
    </row>
    <row r="88" spans="2:22" x14ac:dyDescent="0.25">
      <c r="B88" s="13"/>
      <c r="C88"/>
      <c r="D88"/>
      <c r="E88"/>
      <c r="F88"/>
      <c r="G88"/>
      <c r="H88"/>
      <c r="N88"/>
      <c r="O88"/>
      <c r="P88"/>
      <c r="Q88"/>
      <c r="R88"/>
      <c r="S88"/>
      <c r="T88"/>
      <c r="U88"/>
      <c r="V88"/>
    </row>
    <row r="89" spans="2:22" x14ac:dyDescent="0.25">
      <c r="B89" s="13"/>
      <c r="C89"/>
      <c r="D89"/>
      <c r="E89"/>
      <c r="F89"/>
      <c r="G89"/>
      <c r="H89"/>
      <c r="N89"/>
      <c r="O89"/>
      <c r="P89"/>
      <c r="Q89"/>
      <c r="R89"/>
      <c r="S89"/>
      <c r="T89"/>
      <c r="U89"/>
      <c r="V89"/>
    </row>
    <row r="90" spans="2:22" x14ac:dyDescent="0.25">
      <c r="B90" s="13"/>
      <c r="C90"/>
      <c r="D90"/>
      <c r="E90"/>
      <c r="F90"/>
      <c r="G90"/>
      <c r="H90"/>
      <c r="N90"/>
      <c r="O90"/>
      <c r="P90"/>
      <c r="Q90"/>
      <c r="R90"/>
      <c r="S90"/>
      <c r="T90"/>
      <c r="U90"/>
      <c r="V90"/>
    </row>
    <row r="91" spans="2:22" x14ac:dyDescent="0.25">
      <c r="B91" s="13"/>
      <c r="C91"/>
      <c r="D91"/>
      <c r="E91"/>
      <c r="F91"/>
      <c r="G91"/>
      <c r="H91"/>
      <c r="N91"/>
      <c r="O91"/>
      <c r="P91"/>
      <c r="Q91"/>
      <c r="R91"/>
      <c r="S91"/>
      <c r="T91"/>
      <c r="U91"/>
      <c r="V91"/>
    </row>
    <row r="92" spans="2:22" x14ac:dyDescent="0.25">
      <c r="B92" s="13"/>
      <c r="C92"/>
      <c r="D92"/>
      <c r="E92"/>
      <c r="F92"/>
      <c r="G92"/>
      <c r="H92"/>
      <c r="N92"/>
      <c r="O92"/>
      <c r="P92"/>
      <c r="Q92"/>
      <c r="R92"/>
      <c r="S92"/>
      <c r="T92"/>
      <c r="U92"/>
      <c r="V92"/>
    </row>
    <row r="93" spans="2:22" x14ac:dyDescent="0.25">
      <c r="B93" s="13"/>
      <c r="C93"/>
      <c r="D93"/>
      <c r="E93"/>
      <c r="F93"/>
      <c r="G93"/>
      <c r="H93"/>
      <c r="N93"/>
      <c r="O93"/>
      <c r="P93"/>
      <c r="Q93"/>
      <c r="R93"/>
      <c r="S93"/>
      <c r="T93"/>
      <c r="U93"/>
      <c r="V93"/>
    </row>
    <row r="94" spans="2:22" x14ac:dyDescent="0.25">
      <c r="B94" s="13"/>
      <c r="C94"/>
      <c r="D94"/>
      <c r="E94"/>
      <c r="F94"/>
      <c r="G94"/>
      <c r="H94"/>
      <c r="N94"/>
      <c r="O94"/>
      <c r="P94"/>
      <c r="Q94"/>
      <c r="R94"/>
      <c r="S94"/>
      <c r="T94"/>
      <c r="U94"/>
      <c r="V94"/>
    </row>
    <row r="95" spans="2:22" x14ac:dyDescent="0.25">
      <c r="B95" s="13"/>
      <c r="C95"/>
      <c r="D95"/>
      <c r="E95"/>
      <c r="F95"/>
      <c r="G95"/>
      <c r="H95"/>
      <c r="N95"/>
      <c r="O95"/>
      <c r="P95"/>
      <c r="Q95"/>
      <c r="R95"/>
      <c r="S95"/>
      <c r="T95"/>
      <c r="U95"/>
      <c r="V95"/>
    </row>
    <row r="96" spans="2:22" x14ac:dyDescent="0.25">
      <c r="B96" s="13"/>
      <c r="C96"/>
      <c r="D96"/>
      <c r="E96"/>
      <c r="F96"/>
      <c r="G96"/>
      <c r="H96"/>
      <c r="N96"/>
      <c r="O96"/>
      <c r="P96"/>
      <c r="Q96"/>
      <c r="R96"/>
      <c r="S96"/>
      <c r="T96"/>
      <c r="U96"/>
      <c r="V96"/>
    </row>
  </sheetData>
  <mergeCells count="3">
    <mergeCell ref="AA27:AA29"/>
    <mergeCell ref="Z27:Z29"/>
    <mergeCell ref="I1:K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14157AC-8975-4008-A5DA-25A5E77B96B3}">
          <x14:formula1>
            <xm:f>Data!$F$53:$F$67</xm:f>
          </x14:formula1>
          <xm:sqref>B97:H351</xm:sqref>
        </x14:dataValidation>
        <x14:dataValidation type="list" allowBlank="1" showInputMessage="1" showErrorMessage="1" xr:uid="{190B13D9-29AF-4AAA-9849-874571D9574D}">
          <x14:formula1>
            <xm:f>Data!$F$53:$F$68</xm:f>
          </x14:formula1>
          <xm:sqref>B5:B26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881F-3675-47E3-B5B9-5B471BF82E2B}">
  <dimension ref="B1:K23"/>
  <sheetViews>
    <sheetView workbookViewId="0">
      <selection activeCell="G17" sqref="G17"/>
    </sheetView>
  </sheetViews>
  <sheetFormatPr defaultRowHeight="15" x14ac:dyDescent="0.25"/>
  <cols>
    <col min="2" max="8" width="22" customWidth="1"/>
    <col min="9" max="9" width="25.7109375" customWidth="1"/>
    <col min="10" max="10" width="22" customWidth="1"/>
    <col min="11" max="11" width="22.5703125" customWidth="1"/>
    <col min="12" max="20" width="16.5703125" customWidth="1"/>
  </cols>
  <sheetData>
    <row r="1" spans="2:11" ht="15.75" thickBot="1" x14ac:dyDescent="0.3"/>
    <row r="2" spans="2:11" x14ac:dyDescent="0.25">
      <c r="B2" s="221" t="s">
        <v>691</v>
      </c>
      <c r="C2" s="371" t="s">
        <v>692</v>
      </c>
      <c r="D2" s="372"/>
      <c r="E2" s="220" t="s">
        <v>693</v>
      </c>
      <c r="F2" s="373" t="s">
        <v>694</v>
      </c>
      <c r="G2" s="374"/>
    </row>
    <row r="3" spans="2:11" ht="15.75" thickBot="1" x14ac:dyDescent="0.3">
      <c r="B3" s="272"/>
      <c r="C3" s="375"/>
      <c r="D3" s="376"/>
      <c r="E3" s="47"/>
      <c r="F3" s="377"/>
      <c r="G3" s="378"/>
    </row>
    <row r="5" spans="2:11" x14ac:dyDescent="0.25">
      <c r="B5" s="370" t="s">
        <v>451</v>
      </c>
      <c r="C5" s="370"/>
      <c r="D5" s="370"/>
      <c r="E5" s="370"/>
      <c r="F5" s="271" t="s">
        <v>842</v>
      </c>
      <c r="G5" s="370" t="s">
        <v>843</v>
      </c>
      <c r="H5" s="370"/>
      <c r="I5" s="370"/>
      <c r="J5" s="370"/>
      <c r="K5" s="370"/>
    </row>
    <row r="6" spans="2:11" x14ac:dyDescent="0.25">
      <c r="B6" s="271" t="s">
        <v>844</v>
      </c>
      <c r="C6" s="271" t="s">
        <v>461</v>
      </c>
      <c r="D6" s="271" t="s">
        <v>462</v>
      </c>
      <c r="E6" s="271" t="s">
        <v>381</v>
      </c>
      <c r="F6" s="271" t="s">
        <v>842</v>
      </c>
      <c r="G6" s="270" t="s">
        <v>834</v>
      </c>
      <c r="H6" s="270" t="s">
        <v>835</v>
      </c>
      <c r="I6" s="271" t="s">
        <v>447</v>
      </c>
      <c r="J6" s="271" t="s">
        <v>836</v>
      </c>
      <c r="K6" s="271" t="s">
        <v>118</v>
      </c>
    </row>
    <row r="7" spans="2:11" ht="33.75" x14ac:dyDescent="0.25">
      <c r="B7" s="273" t="s">
        <v>491</v>
      </c>
      <c r="C7" s="274" t="s">
        <v>845</v>
      </c>
      <c r="D7" s="273" t="s">
        <v>846</v>
      </c>
      <c r="E7" s="274" t="s">
        <v>837</v>
      </c>
      <c r="F7" s="273" t="s">
        <v>838</v>
      </c>
      <c r="G7" s="274" t="s">
        <v>847</v>
      </c>
      <c r="H7" s="274" t="s">
        <v>839</v>
      </c>
      <c r="I7" s="274" t="s">
        <v>840</v>
      </c>
      <c r="J7" s="274" t="s">
        <v>841</v>
      </c>
      <c r="K7" s="274" t="s">
        <v>848</v>
      </c>
    </row>
    <row r="8" spans="2:11" x14ac:dyDescent="0.25">
      <c r="B8" s="275">
        <f>'Pricing Sheet'!O22+'Pricing Sheet'!AM22+'Pricing Sheet'!AQ22</f>
        <v>260091.62524999998</v>
      </c>
      <c r="C8" s="44">
        <f>0.41*B8</f>
        <v>106637.56635249998</v>
      </c>
      <c r="D8" s="44">
        <f>0.05*B8</f>
        <v>13004.5812625</v>
      </c>
      <c r="E8" s="276">
        <f>B8+C8+D8</f>
        <v>379733.77286500001</v>
      </c>
      <c r="F8" s="44">
        <f>Pricing_Sheet[[#Totals],[TOTAL PRICE ]]</f>
        <v>542663.81601250009</v>
      </c>
      <c r="G8" s="44">
        <f>F8-B8</f>
        <v>282572.1907625001</v>
      </c>
      <c r="H8" s="277">
        <f>G8/F8</f>
        <v>0.52071316056936279</v>
      </c>
      <c r="I8" s="44">
        <f>F8-E8</f>
        <v>162930.04314750008</v>
      </c>
      <c r="J8" s="278">
        <f>I8/F8</f>
        <v>0.30024121443126961</v>
      </c>
      <c r="K8" s="279">
        <f>(F8/B8-1)</f>
        <v>1.0864332540153563</v>
      </c>
    </row>
    <row r="9" spans="2:11" x14ac:dyDescent="0.25">
      <c r="B9" s="9"/>
      <c r="C9" s="280">
        <f>C8/B8</f>
        <v>0.41</v>
      </c>
      <c r="D9" s="280">
        <f>D8/B8</f>
        <v>0.05</v>
      </c>
      <c r="E9" s="9"/>
      <c r="F9" s="281">
        <f>B8*1.715</f>
        <v>446057.13730374997</v>
      </c>
      <c r="G9" s="9"/>
      <c r="H9" s="9"/>
      <c r="I9" s="280">
        <f>I8/B8</f>
        <v>0.62643325401535621</v>
      </c>
      <c r="J9" s="9"/>
      <c r="K9" s="9"/>
    </row>
    <row r="10" spans="2:11" x14ac:dyDescent="0.25">
      <c r="B10" s="9"/>
      <c r="C10" s="280" t="s">
        <v>849</v>
      </c>
      <c r="D10" s="280" t="s">
        <v>849</v>
      </c>
      <c r="E10" s="9"/>
      <c r="F10" s="283" t="s">
        <v>850</v>
      </c>
      <c r="G10" s="9"/>
      <c r="H10" s="9"/>
      <c r="I10" s="280" t="s">
        <v>849</v>
      </c>
      <c r="J10" s="9"/>
      <c r="K10" s="9"/>
    </row>
    <row r="12" spans="2:11" ht="22.5" customHeight="1" x14ac:dyDescent="0.25">
      <c r="B12" s="271" t="s">
        <v>844</v>
      </c>
      <c r="C12" s="379" t="s">
        <v>855</v>
      </c>
      <c r="D12" s="379" t="s">
        <v>856</v>
      </c>
      <c r="E12" s="379" t="s">
        <v>842</v>
      </c>
      <c r="F12" s="379" t="s">
        <v>857</v>
      </c>
      <c r="G12" s="379" t="s">
        <v>858</v>
      </c>
      <c r="H12" s="368" t="s">
        <v>860</v>
      </c>
      <c r="I12" s="368" t="s">
        <v>861</v>
      </c>
      <c r="J12" s="368" t="s">
        <v>859</v>
      </c>
      <c r="K12" s="368" t="s">
        <v>864</v>
      </c>
    </row>
    <row r="13" spans="2:11" ht="22.5" customHeight="1" x14ac:dyDescent="0.25">
      <c r="B13" s="273" t="s">
        <v>491</v>
      </c>
      <c r="C13" s="380"/>
      <c r="D13" s="380"/>
      <c r="E13" s="380"/>
      <c r="F13" s="380"/>
      <c r="G13" s="380"/>
      <c r="H13" s="369"/>
      <c r="I13" s="369"/>
      <c r="J13" s="369"/>
      <c r="K13" s="369"/>
    </row>
    <row r="14" spans="2:11" x14ac:dyDescent="0.25">
      <c r="B14" s="44">
        <f>B8</f>
        <v>260091.62524999998</v>
      </c>
      <c r="C14" s="44">
        <f>IF('Pricing Sheet'!L2="Remote Area",'Pricing Sheet'!V22,'Pricing Sheet'!W22)</f>
        <v>90014.0625</v>
      </c>
      <c r="D14" s="44">
        <f>C14+B14</f>
        <v>350105.68774999998</v>
      </c>
      <c r="E14" s="44">
        <f>F8</f>
        <v>542663.81601250009</v>
      </c>
      <c r="F14" s="44">
        <f>F9</f>
        <v>446057.13730374997</v>
      </c>
      <c r="G14" s="283" t="str">
        <f>IF(F14&gt;E14,"Rejected","Accepted")</f>
        <v>Accepted</v>
      </c>
      <c r="H14" s="44">
        <f>IF('Pricing Sheet'!L2="Remote Area",'Pricing Sheet'!AE22,'Pricing Sheet'!AF22)</f>
        <v>139521.796875</v>
      </c>
      <c r="I14" s="44">
        <f>'Pricing Sheet'!S22+'Pricing Sheet'!AP22+'Pricing Sheet'!AT22</f>
        <v>403142.01913750003</v>
      </c>
      <c r="J14" s="44">
        <f>H14+F14-E14</f>
        <v>42915.118166249944</v>
      </c>
      <c r="K14" s="44">
        <f>J14-H14</f>
        <v>-96606.678708750056</v>
      </c>
    </row>
    <row r="15" spans="2:11" x14ac:dyDescent="0.25">
      <c r="G15" s="284"/>
    </row>
    <row r="16" spans="2:11" x14ac:dyDescent="0.25">
      <c r="B16" s="362" t="s">
        <v>851</v>
      </c>
      <c r="C16" s="363"/>
      <c r="D16" s="363"/>
      <c r="E16" s="364"/>
      <c r="I16" s="45"/>
    </row>
    <row r="17" spans="2:10" x14ac:dyDescent="0.25">
      <c r="B17" s="362" t="s">
        <v>842</v>
      </c>
      <c r="C17" s="363"/>
      <c r="D17" s="363"/>
      <c r="E17" s="364"/>
    </row>
    <row r="18" spans="2:10" x14ac:dyDescent="0.25">
      <c r="B18" s="365">
        <f>F8</f>
        <v>542663.81601250009</v>
      </c>
      <c r="C18" s="366"/>
      <c r="D18" s="366"/>
      <c r="E18" s="367"/>
      <c r="I18" s="45"/>
      <c r="J18" s="45"/>
    </row>
    <row r="19" spans="2:10" x14ac:dyDescent="0.25">
      <c r="B19" s="10" t="s">
        <v>844</v>
      </c>
      <c r="C19" s="362" t="s">
        <v>852</v>
      </c>
      <c r="D19" s="363"/>
      <c r="E19" s="364"/>
    </row>
    <row r="20" spans="2:10" x14ac:dyDescent="0.25">
      <c r="B20" s="5">
        <f>B8</f>
        <v>260091.62524999998</v>
      </c>
      <c r="C20" s="365">
        <f>G8</f>
        <v>282572.1907625001</v>
      </c>
      <c r="D20" s="366"/>
      <c r="E20" s="367"/>
    </row>
    <row r="21" spans="2:10" x14ac:dyDescent="0.25">
      <c r="B21" s="10" t="s">
        <v>844</v>
      </c>
      <c r="C21" s="269" t="s">
        <v>853</v>
      </c>
      <c r="D21" s="269" t="s">
        <v>462</v>
      </c>
      <c r="E21" s="269" t="s">
        <v>854</v>
      </c>
    </row>
    <row r="22" spans="2:10" x14ac:dyDescent="0.25">
      <c r="B22" s="5">
        <f>B20</f>
        <v>260091.62524999998</v>
      </c>
      <c r="C22" s="5">
        <f>C8</f>
        <v>106637.56635249998</v>
      </c>
      <c r="D22" s="5">
        <f>D8</f>
        <v>13004.5812625</v>
      </c>
      <c r="E22" s="5">
        <f>I8</f>
        <v>162930.04314750008</v>
      </c>
    </row>
    <row r="23" spans="2:10" x14ac:dyDescent="0.25">
      <c r="B23" s="282">
        <f>B22/B18</f>
        <v>0.47928683943063721</v>
      </c>
      <c r="C23" s="282">
        <f>C22/B18</f>
        <v>0.19650760416656124</v>
      </c>
      <c r="D23" s="282">
        <f>D22/B18</f>
        <v>2.3964341971531862E-2</v>
      </c>
      <c r="E23" s="282">
        <f>E22/B18</f>
        <v>0.30024121443126961</v>
      </c>
    </row>
  </sheetData>
  <mergeCells count="20">
    <mergeCell ref="I12:I13"/>
    <mergeCell ref="J12:J13"/>
    <mergeCell ref="G5:K5"/>
    <mergeCell ref="B16:E16"/>
    <mergeCell ref="C2:D2"/>
    <mergeCell ref="F2:G2"/>
    <mergeCell ref="C3:D3"/>
    <mergeCell ref="F3:G3"/>
    <mergeCell ref="B5:E5"/>
    <mergeCell ref="G12:G13"/>
    <mergeCell ref="C12:C13"/>
    <mergeCell ref="D12:D13"/>
    <mergeCell ref="E12:E13"/>
    <mergeCell ref="F12:F13"/>
    <mergeCell ref="K12:K13"/>
    <mergeCell ref="B17:E17"/>
    <mergeCell ref="B18:E18"/>
    <mergeCell ref="C19:E19"/>
    <mergeCell ref="C20:E20"/>
    <mergeCell ref="H12:H13"/>
  </mergeCells>
  <conditionalFormatting sqref="F9">
    <cfRule type="cellIs" dxfId="52" priority="1" operator="lessThan">
      <formula>$F$8</formula>
    </cfRule>
    <cfRule type="cellIs" dxfId="51" priority="2" operator="greaterThan">
      <formula>$F$8</formula>
    </cfRule>
  </conditionalFormatting>
  <conditionalFormatting sqref="G14">
    <cfRule type="containsText" dxfId="50" priority="3" operator="containsText" text="Accepted">
      <formula>NOT(ISERROR(SEARCH("Accepted",G14)))</formula>
    </cfRule>
    <cfRule type="containsText" dxfId="49" priority="4" operator="containsText" text="Rejected">
      <formula>NOT(ISERROR(SEARCH("Rejected",G14)))</formula>
    </cfRule>
    <cfRule type="expression" dxfId="48" priority="5">
      <formula>"$G$14=""Rejected"""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342"/>
  <sheetViews>
    <sheetView topLeftCell="G1" zoomScale="85" zoomScaleNormal="85" workbookViewId="0">
      <pane ySplit="1" topLeftCell="A68" activePane="bottomLeft" state="frozen"/>
      <selection activeCell="W6" sqref="W6:W17"/>
      <selection pane="bottomLeft" activeCell="T1" sqref="T1:U1048576"/>
    </sheetView>
  </sheetViews>
  <sheetFormatPr defaultRowHeight="15" x14ac:dyDescent="0.25"/>
  <cols>
    <col min="1" max="1" width="9.140625" style="1"/>
    <col min="2" max="2" width="107.28515625" style="1" customWidth="1"/>
    <col min="3" max="3" width="10.85546875" style="1" customWidth="1"/>
    <col min="4" max="4" width="14.140625" style="1" customWidth="1"/>
    <col min="5" max="18" width="18.5703125" style="1" customWidth="1"/>
    <col min="19" max="22" width="16.28515625" style="1" customWidth="1"/>
    <col min="23" max="23" width="18.85546875" style="1" customWidth="1"/>
    <col min="24" max="24" width="18.5703125" style="1" customWidth="1"/>
    <col min="25" max="26" width="18.7109375" style="1" customWidth="1"/>
    <col min="27" max="27" width="10.42578125" style="1" customWidth="1"/>
  </cols>
  <sheetData>
    <row r="1" spans="1:28" ht="80.2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49</v>
      </c>
      <c r="H1" s="8" t="s">
        <v>121</v>
      </c>
      <c r="I1" s="8" t="s">
        <v>819</v>
      </c>
      <c r="J1" s="8" t="s">
        <v>820</v>
      </c>
      <c r="K1" s="8" t="s">
        <v>821</v>
      </c>
      <c r="L1" s="8" t="s">
        <v>822</v>
      </c>
      <c r="M1" s="8" t="s">
        <v>808</v>
      </c>
      <c r="N1" s="8" t="s">
        <v>807</v>
      </c>
      <c r="O1" s="265" t="s">
        <v>818</v>
      </c>
      <c r="P1" s="8" t="s">
        <v>128</v>
      </c>
      <c r="Q1" s="8" t="s">
        <v>129</v>
      </c>
      <c r="R1" s="8" t="s">
        <v>120</v>
      </c>
      <c r="S1" s="41" t="s">
        <v>446</v>
      </c>
      <c r="T1" s="8" t="s">
        <v>673</v>
      </c>
      <c r="U1" s="8" t="s">
        <v>445</v>
      </c>
      <c r="V1" s="8" t="s">
        <v>666</v>
      </c>
      <c r="W1" s="2" t="s">
        <v>118</v>
      </c>
      <c r="X1" s="2" t="s">
        <v>381</v>
      </c>
      <c r="Y1" s="2" t="s">
        <v>119</v>
      </c>
      <c r="Z1" s="2" t="s">
        <v>313</v>
      </c>
      <c r="AA1" s="1" t="s">
        <v>471</v>
      </c>
      <c r="AB1" s="294">
        <v>0</v>
      </c>
    </row>
    <row r="2" spans="1:28" hidden="1" x14ac:dyDescent="0.25">
      <c r="A2" s="2">
        <v>1</v>
      </c>
      <c r="B2" s="256" t="s">
        <v>676</v>
      </c>
      <c r="C2" s="2" t="s">
        <v>14</v>
      </c>
      <c r="D2" s="2" t="s">
        <v>65</v>
      </c>
      <c r="E2" s="2" t="s">
        <v>102</v>
      </c>
      <c r="F2" s="2" t="s">
        <v>102</v>
      </c>
      <c r="G2" s="2" t="s">
        <v>50</v>
      </c>
      <c r="H2" s="4"/>
      <c r="I2" s="51">
        <v>0</v>
      </c>
      <c r="J2" s="262">
        <v>0</v>
      </c>
      <c r="K2" s="264">
        <v>0</v>
      </c>
      <c r="L2" s="3">
        <v>14000</v>
      </c>
      <c r="M2" s="3">
        <f>0.15*(I2*3.77+J2*4.3+K2*1.1)</f>
        <v>0</v>
      </c>
      <c r="N2" s="3">
        <f>0.2*(I2*3.77+J2*4.3+K2*1.1)</f>
        <v>0</v>
      </c>
      <c r="O2" s="265">
        <v>12000</v>
      </c>
      <c r="P2" s="3">
        <v>0</v>
      </c>
      <c r="Q2" s="3">
        <v>0</v>
      </c>
      <c r="R2" s="3">
        <v>0</v>
      </c>
      <c r="S2" s="3">
        <f>SUM(O2:R2)</f>
        <v>12000</v>
      </c>
      <c r="T2" s="3">
        <f>0.1*S2</f>
        <v>1200</v>
      </c>
      <c r="U2" s="3">
        <f>0.05*S2</f>
        <v>600</v>
      </c>
      <c r="V2" s="3">
        <f>0.4*S2</f>
        <v>4800</v>
      </c>
      <c r="W2" s="3">
        <f>SUM(T2:V2)</f>
        <v>6600</v>
      </c>
      <c r="X2" s="3">
        <f>SUM(S2:U2)</f>
        <v>13800</v>
      </c>
      <c r="Y2" s="3">
        <f>(W2+S2)*(1-$AB$1)</f>
        <v>18600</v>
      </c>
      <c r="Z2" s="2">
        <v>5</v>
      </c>
      <c r="AB2" s="293"/>
    </row>
    <row r="3" spans="1:28" hidden="1" x14ac:dyDescent="0.25">
      <c r="A3" s="2">
        <v>2</v>
      </c>
      <c r="B3" s="256" t="s">
        <v>154</v>
      </c>
      <c r="C3" s="2" t="s">
        <v>14</v>
      </c>
      <c r="D3" s="2" t="s">
        <v>675</v>
      </c>
      <c r="E3" s="2" t="s">
        <v>102</v>
      </c>
      <c r="F3" s="2" t="s">
        <v>102</v>
      </c>
      <c r="G3" s="2" t="s">
        <v>50</v>
      </c>
      <c r="H3" s="4"/>
      <c r="I3" s="51">
        <v>0</v>
      </c>
      <c r="J3" s="262">
        <v>0</v>
      </c>
      <c r="K3" s="264">
        <v>0</v>
      </c>
      <c r="L3" s="3">
        <v>12000</v>
      </c>
      <c r="M3" s="3">
        <f t="shared" ref="M3:M67" si="0">0.15*(I3*3.77+J3*4.3+K3*1.1)</f>
        <v>0</v>
      </c>
      <c r="N3" s="3">
        <f t="shared" ref="N3:N67" si="1">0.2*(I3*3.77+J3*4.3+K3*1.1)</f>
        <v>0</v>
      </c>
      <c r="O3" s="265">
        <v>14000</v>
      </c>
      <c r="P3" s="3">
        <v>0</v>
      </c>
      <c r="Q3" s="3">
        <v>0</v>
      </c>
      <c r="R3" s="3">
        <v>0</v>
      </c>
      <c r="S3" s="3">
        <f t="shared" ref="S3:S67" si="2">SUM(O3:R3)</f>
        <v>14000</v>
      </c>
      <c r="T3" s="3">
        <f t="shared" ref="T3:T67" si="3">0.1*S3</f>
        <v>1400</v>
      </c>
      <c r="U3" s="3">
        <f t="shared" ref="U3:U67" si="4">0.05*S3</f>
        <v>700</v>
      </c>
      <c r="V3" s="3">
        <f t="shared" ref="V3:V67" si="5">0.4*S3</f>
        <v>5600</v>
      </c>
      <c r="W3" s="3">
        <f>SUM(T3:V3)</f>
        <v>7700</v>
      </c>
      <c r="X3" s="3">
        <f>SUM(S3:U3)</f>
        <v>16100</v>
      </c>
      <c r="Y3" s="3">
        <f t="shared" ref="Y3:Y67" si="6">(W3+S3)*(1-$AB$1)</f>
        <v>21700</v>
      </c>
      <c r="Z3" s="2">
        <v>5</v>
      </c>
    </row>
    <row r="4" spans="1:28" hidden="1" x14ac:dyDescent="0.25">
      <c r="A4" s="2">
        <v>3</v>
      </c>
      <c r="B4" s="256" t="s">
        <v>155</v>
      </c>
      <c r="C4" s="2" t="s">
        <v>14</v>
      </c>
      <c r="D4" s="2" t="s">
        <v>66</v>
      </c>
      <c r="E4" s="2" t="s">
        <v>102</v>
      </c>
      <c r="F4" s="2" t="s">
        <v>102</v>
      </c>
      <c r="G4" s="2" t="s">
        <v>50</v>
      </c>
      <c r="H4" s="4"/>
      <c r="I4" s="51">
        <v>0</v>
      </c>
      <c r="J4" s="262">
        <v>0</v>
      </c>
      <c r="K4" s="264">
        <v>0</v>
      </c>
      <c r="L4" s="3">
        <v>14000</v>
      </c>
      <c r="M4" s="3">
        <f t="shared" si="0"/>
        <v>0</v>
      </c>
      <c r="N4" s="3">
        <f t="shared" si="1"/>
        <v>0</v>
      </c>
      <c r="O4" s="265">
        <v>14500</v>
      </c>
      <c r="P4" s="3">
        <v>0</v>
      </c>
      <c r="Q4" s="3">
        <v>0</v>
      </c>
      <c r="R4" s="3">
        <v>0</v>
      </c>
      <c r="S4" s="3">
        <f t="shared" si="2"/>
        <v>14500</v>
      </c>
      <c r="T4" s="3">
        <f t="shared" si="3"/>
        <v>1450</v>
      </c>
      <c r="U4" s="3">
        <f t="shared" si="4"/>
        <v>725</v>
      </c>
      <c r="V4" s="3">
        <f t="shared" si="5"/>
        <v>5800</v>
      </c>
      <c r="W4" s="3">
        <f t="shared" ref="W4:W74" si="7">SUM(T4:V4)</f>
        <v>7975</v>
      </c>
      <c r="X4" s="3">
        <f t="shared" ref="X4:X74" si="8">SUM(S4:U4)</f>
        <v>16675</v>
      </c>
      <c r="Y4" s="3">
        <f t="shared" si="6"/>
        <v>22475</v>
      </c>
      <c r="Z4" s="2">
        <v>5</v>
      </c>
    </row>
    <row r="5" spans="1:28" hidden="1" x14ac:dyDescent="0.25">
      <c r="A5" s="2">
        <v>4</v>
      </c>
      <c r="B5" s="256" t="s">
        <v>156</v>
      </c>
      <c r="C5" s="2" t="s">
        <v>14</v>
      </c>
      <c r="D5" s="2" t="s">
        <v>67</v>
      </c>
      <c r="E5" s="2" t="s">
        <v>102</v>
      </c>
      <c r="F5" s="2" t="s">
        <v>102</v>
      </c>
      <c r="G5" s="2" t="s">
        <v>50</v>
      </c>
      <c r="H5" s="4"/>
      <c r="I5" s="51">
        <v>0</v>
      </c>
      <c r="J5" s="262">
        <v>0</v>
      </c>
      <c r="K5" s="264">
        <v>0</v>
      </c>
      <c r="L5" s="3">
        <v>17000</v>
      </c>
      <c r="M5" s="3">
        <f t="shared" si="0"/>
        <v>0</v>
      </c>
      <c r="N5" s="3">
        <f t="shared" si="1"/>
        <v>0</v>
      </c>
      <c r="O5" s="265">
        <v>15000</v>
      </c>
      <c r="P5" s="3">
        <v>0</v>
      </c>
      <c r="Q5" s="3">
        <v>0</v>
      </c>
      <c r="R5" s="3">
        <v>0</v>
      </c>
      <c r="S5" s="3">
        <f t="shared" si="2"/>
        <v>15000</v>
      </c>
      <c r="T5" s="3">
        <f t="shared" si="3"/>
        <v>1500</v>
      </c>
      <c r="U5" s="3">
        <f t="shared" si="4"/>
        <v>750</v>
      </c>
      <c r="V5" s="3">
        <f t="shared" si="5"/>
        <v>6000</v>
      </c>
      <c r="W5" s="3">
        <f t="shared" si="7"/>
        <v>8250</v>
      </c>
      <c r="X5" s="3">
        <f t="shared" si="8"/>
        <v>17250</v>
      </c>
      <c r="Y5" s="3">
        <f t="shared" si="6"/>
        <v>23250</v>
      </c>
      <c r="Z5" s="2">
        <v>5</v>
      </c>
    </row>
    <row r="6" spans="1:28" hidden="1" x14ac:dyDescent="0.25">
      <c r="A6" s="2">
        <v>6</v>
      </c>
      <c r="B6" s="256" t="s">
        <v>157</v>
      </c>
      <c r="C6" s="2" t="s">
        <v>14</v>
      </c>
      <c r="D6" s="2" t="s">
        <v>69</v>
      </c>
      <c r="E6" s="2" t="s">
        <v>102</v>
      </c>
      <c r="F6" s="2" t="s">
        <v>102</v>
      </c>
      <c r="G6" s="2" t="s">
        <v>50</v>
      </c>
      <c r="H6" s="4"/>
      <c r="I6" s="51">
        <v>0</v>
      </c>
      <c r="J6" s="262">
        <v>0</v>
      </c>
      <c r="K6" s="264">
        <v>0</v>
      </c>
      <c r="L6" s="3">
        <v>20000</v>
      </c>
      <c r="M6" s="3">
        <f t="shared" si="0"/>
        <v>0</v>
      </c>
      <c r="N6" s="3">
        <f t="shared" si="1"/>
        <v>0</v>
      </c>
      <c r="O6" s="265">
        <f t="shared" ref="O6:O67" si="9">N6+M6+L6+1.1*K6+J6*4.3+I6*3.77</f>
        <v>20000</v>
      </c>
      <c r="P6" s="3">
        <v>0</v>
      </c>
      <c r="Q6" s="3">
        <v>0</v>
      </c>
      <c r="R6" s="3">
        <v>0</v>
      </c>
      <c r="S6" s="3">
        <f t="shared" si="2"/>
        <v>20000</v>
      </c>
      <c r="T6" s="3">
        <f t="shared" si="3"/>
        <v>2000</v>
      </c>
      <c r="U6" s="3">
        <f t="shared" si="4"/>
        <v>1000</v>
      </c>
      <c r="V6" s="3">
        <f t="shared" si="5"/>
        <v>8000</v>
      </c>
      <c r="W6" s="3">
        <f t="shared" si="7"/>
        <v>11000</v>
      </c>
      <c r="X6" s="3">
        <f t="shared" si="8"/>
        <v>23000</v>
      </c>
      <c r="Y6" s="3">
        <f t="shared" si="6"/>
        <v>31000</v>
      </c>
      <c r="Z6" s="2">
        <v>5</v>
      </c>
    </row>
    <row r="7" spans="1:28" hidden="1" x14ac:dyDescent="0.25">
      <c r="A7" s="2">
        <v>7</v>
      </c>
      <c r="B7" s="256" t="s">
        <v>158</v>
      </c>
      <c r="C7" s="2" t="s">
        <v>14</v>
      </c>
      <c r="D7" s="2" t="s">
        <v>70</v>
      </c>
      <c r="E7" s="2" t="s">
        <v>102</v>
      </c>
      <c r="F7" s="2" t="s">
        <v>102</v>
      </c>
      <c r="G7" s="2" t="s">
        <v>50</v>
      </c>
      <c r="H7" s="4"/>
      <c r="I7" s="51">
        <v>0</v>
      </c>
      <c r="J7" s="262">
        <v>0</v>
      </c>
      <c r="K7" s="264">
        <v>0</v>
      </c>
      <c r="L7" s="3">
        <v>20000</v>
      </c>
      <c r="M7" s="3">
        <f t="shared" si="0"/>
        <v>0</v>
      </c>
      <c r="N7" s="3">
        <f t="shared" si="1"/>
        <v>0</v>
      </c>
      <c r="O7" s="265">
        <v>22000</v>
      </c>
      <c r="P7" s="3">
        <v>0</v>
      </c>
      <c r="Q7" s="3">
        <v>0</v>
      </c>
      <c r="R7" s="3">
        <v>0</v>
      </c>
      <c r="S7" s="3">
        <f t="shared" si="2"/>
        <v>22000</v>
      </c>
      <c r="T7" s="3">
        <f t="shared" si="3"/>
        <v>2200</v>
      </c>
      <c r="U7" s="3">
        <f t="shared" si="4"/>
        <v>1100</v>
      </c>
      <c r="V7" s="3">
        <f t="shared" si="5"/>
        <v>8800</v>
      </c>
      <c r="W7" s="3">
        <f t="shared" si="7"/>
        <v>12100</v>
      </c>
      <c r="X7" s="3">
        <f t="shared" si="8"/>
        <v>25300</v>
      </c>
      <c r="Y7" s="3">
        <f t="shared" si="6"/>
        <v>34100</v>
      </c>
      <c r="Z7" s="2">
        <v>5</v>
      </c>
    </row>
    <row r="8" spans="1:28" hidden="1" x14ac:dyDescent="0.25">
      <c r="A8" s="2">
        <v>8</v>
      </c>
      <c r="B8" s="256" t="s">
        <v>159</v>
      </c>
      <c r="C8" s="2" t="s">
        <v>14</v>
      </c>
      <c r="D8" s="2" t="s">
        <v>71</v>
      </c>
      <c r="E8" s="2" t="s">
        <v>102</v>
      </c>
      <c r="F8" s="2" t="s">
        <v>102</v>
      </c>
      <c r="G8" s="2" t="s">
        <v>50</v>
      </c>
      <c r="H8" s="4"/>
      <c r="I8" s="51">
        <v>0</v>
      </c>
      <c r="J8" s="262">
        <v>0</v>
      </c>
      <c r="K8" s="264">
        <v>0</v>
      </c>
      <c r="L8" s="3">
        <v>25000</v>
      </c>
      <c r="M8" s="3">
        <f t="shared" si="0"/>
        <v>0</v>
      </c>
      <c r="N8" s="3">
        <f t="shared" si="1"/>
        <v>0</v>
      </c>
      <c r="O8" s="265">
        <f t="shared" si="9"/>
        <v>25000</v>
      </c>
      <c r="P8" s="3">
        <v>0</v>
      </c>
      <c r="Q8" s="3">
        <v>0</v>
      </c>
      <c r="R8" s="3">
        <v>0</v>
      </c>
      <c r="S8" s="3">
        <f t="shared" si="2"/>
        <v>25000</v>
      </c>
      <c r="T8" s="3">
        <f t="shared" si="3"/>
        <v>2500</v>
      </c>
      <c r="U8" s="3">
        <f t="shared" si="4"/>
        <v>1250</v>
      </c>
      <c r="V8" s="3">
        <f t="shared" si="5"/>
        <v>10000</v>
      </c>
      <c r="W8" s="3">
        <f t="shared" si="7"/>
        <v>13750</v>
      </c>
      <c r="X8" s="3">
        <f t="shared" si="8"/>
        <v>28750</v>
      </c>
      <c r="Y8" s="3">
        <f t="shared" si="6"/>
        <v>38750</v>
      </c>
      <c r="Z8" s="2">
        <v>5</v>
      </c>
    </row>
    <row r="9" spans="1:28" hidden="1" x14ac:dyDescent="0.25">
      <c r="A9" s="2">
        <v>9</v>
      </c>
      <c r="B9" s="256" t="s">
        <v>160</v>
      </c>
      <c r="C9" s="2" t="s">
        <v>14</v>
      </c>
      <c r="D9" s="2" t="s">
        <v>72</v>
      </c>
      <c r="E9" s="2" t="s">
        <v>102</v>
      </c>
      <c r="F9" s="2" t="s">
        <v>102</v>
      </c>
      <c r="G9" s="2" t="s">
        <v>50</v>
      </c>
      <c r="H9" s="4"/>
      <c r="I9" s="51">
        <v>0</v>
      </c>
      <c r="J9" s="262">
        <v>0</v>
      </c>
      <c r="K9" s="264">
        <v>0</v>
      </c>
      <c r="L9" s="3">
        <v>25000</v>
      </c>
      <c r="M9" s="3">
        <f t="shared" si="0"/>
        <v>0</v>
      </c>
      <c r="N9" s="3">
        <f t="shared" si="1"/>
        <v>0</v>
      </c>
      <c r="O9" s="265">
        <v>27000</v>
      </c>
      <c r="P9" s="3">
        <v>0</v>
      </c>
      <c r="Q9" s="3">
        <v>0</v>
      </c>
      <c r="R9" s="3">
        <v>0</v>
      </c>
      <c r="S9" s="3">
        <f t="shared" si="2"/>
        <v>27000</v>
      </c>
      <c r="T9" s="3">
        <f t="shared" si="3"/>
        <v>2700</v>
      </c>
      <c r="U9" s="3">
        <f t="shared" si="4"/>
        <v>1350</v>
      </c>
      <c r="V9" s="3">
        <f t="shared" si="5"/>
        <v>10800</v>
      </c>
      <c r="W9" s="3">
        <f t="shared" si="7"/>
        <v>14850</v>
      </c>
      <c r="X9" s="3">
        <f t="shared" si="8"/>
        <v>31050</v>
      </c>
      <c r="Y9" s="3">
        <f t="shared" si="6"/>
        <v>41850</v>
      </c>
      <c r="Z9" s="2">
        <v>5</v>
      </c>
    </row>
    <row r="10" spans="1:28" hidden="1" x14ac:dyDescent="0.25">
      <c r="A10" s="2">
        <v>10</v>
      </c>
      <c r="B10" s="256" t="s">
        <v>161</v>
      </c>
      <c r="C10" s="2" t="s">
        <v>14</v>
      </c>
      <c r="D10" s="2" t="s">
        <v>73</v>
      </c>
      <c r="E10" s="2" t="s">
        <v>102</v>
      </c>
      <c r="F10" s="2" t="s">
        <v>102</v>
      </c>
      <c r="G10" s="2" t="s">
        <v>50</v>
      </c>
      <c r="H10" s="4"/>
      <c r="I10" s="51">
        <v>0</v>
      </c>
      <c r="J10" s="262">
        <v>0</v>
      </c>
      <c r="K10" s="264">
        <v>0</v>
      </c>
      <c r="L10" s="3">
        <v>30000</v>
      </c>
      <c r="M10" s="3">
        <f t="shared" si="0"/>
        <v>0</v>
      </c>
      <c r="N10" s="3">
        <f t="shared" si="1"/>
        <v>0</v>
      </c>
      <c r="O10" s="265">
        <v>29000</v>
      </c>
      <c r="P10" s="3">
        <v>0</v>
      </c>
      <c r="Q10" s="3">
        <v>0</v>
      </c>
      <c r="R10" s="3">
        <v>0</v>
      </c>
      <c r="S10" s="3">
        <f t="shared" si="2"/>
        <v>29000</v>
      </c>
      <c r="T10" s="3">
        <f t="shared" si="3"/>
        <v>2900</v>
      </c>
      <c r="U10" s="3">
        <f t="shared" si="4"/>
        <v>1450</v>
      </c>
      <c r="V10" s="3">
        <f t="shared" si="5"/>
        <v>11600</v>
      </c>
      <c r="W10" s="3">
        <f t="shared" si="7"/>
        <v>15950</v>
      </c>
      <c r="X10" s="3">
        <f t="shared" si="8"/>
        <v>33350</v>
      </c>
      <c r="Y10" s="3">
        <f t="shared" si="6"/>
        <v>44950</v>
      </c>
      <c r="Z10" s="2">
        <v>5</v>
      </c>
    </row>
    <row r="11" spans="1:28" hidden="1" x14ac:dyDescent="0.25">
      <c r="A11" s="2">
        <v>11</v>
      </c>
      <c r="B11" s="256" t="s">
        <v>162</v>
      </c>
      <c r="C11" s="2" t="s">
        <v>14</v>
      </c>
      <c r="D11" s="2" t="s">
        <v>74</v>
      </c>
      <c r="E11" s="2" t="s">
        <v>102</v>
      </c>
      <c r="F11" s="2" t="s">
        <v>102</v>
      </c>
      <c r="G11" s="2" t="s">
        <v>50</v>
      </c>
      <c r="H11" s="4"/>
      <c r="I11" s="51">
        <v>0</v>
      </c>
      <c r="J11" s="262">
        <v>0</v>
      </c>
      <c r="K11" s="264">
        <v>0</v>
      </c>
      <c r="L11" s="3">
        <v>30000</v>
      </c>
      <c r="M11" s="3">
        <f t="shared" si="0"/>
        <v>0</v>
      </c>
      <c r="N11" s="3">
        <f t="shared" si="1"/>
        <v>0</v>
      </c>
      <c r="O11" s="265">
        <v>31000</v>
      </c>
      <c r="P11" s="3">
        <v>0</v>
      </c>
      <c r="Q11" s="3">
        <v>0</v>
      </c>
      <c r="R11" s="3">
        <v>0</v>
      </c>
      <c r="S11" s="3">
        <f t="shared" si="2"/>
        <v>31000</v>
      </c>
      <c r="T11" s="3">
        <f t="shared" si="3"/>
        <v>3100</v>
      </c>
      <c r="U11" s="3">
        <f t="shared" si="4"/>
        <v>1550</v>
      </c>
      <c r="V11" s="3">
        <f t="shared" si="5"/>
        <v>12400</v>
      </c>
      <c r="W11" s="3">
        <f t="shared" si="7"/>
        <v>17050</v>
      </c>
      <c r="X11" s="3">
        <f t="shared" si="8"/>
        <v>35650</v>
      </c>
      <c r="Y11" s="3">
        <f t="shared" si="6"/>
        <v>48050</v>
      </c>
      <c r="Z11" s="2">
        <v>5</v>
      </c>
    </row>
    <row r="12" spans="1:28" hidden="1" x14ac:dyDescent="0.25">
      <c r="A12" s="2">
        <v>375</v>
      </c>
      <c r="B12" s="256" t="s">
        <v>251</v>
      </c>
      <c r="C12" s="2" t="s">
        <v>14</v>
      </c>
      <c r="D12" s="2" t="s">
        <v>70</v>
      </c>
      <c r="E12" s="2" t="s">
        <v>102</v>
      </c>
      <c r="F12" s="2" t="s">
        <v>102</v>
      </c>
      <c r="G12" s="2" t="s">
        <v>50</v>
      </c>
      <c r="H12" s="4" t="s">
        <v>54</v>
      </c>
      <c r="I12" s="51">
        <v>0</v>
      </c>
      <c r="J12" s="262">
        <v>0</v>
      </c>
      <c r="K12" s="264">
        <v>0</v>
      </c>
      <c r="L12" s="3">
        <v>28000</v>
      </c>
      <c r="M12" s="3">
        <f>0.15*(I12*3.77+J12*4.3+K12*1.1)</f>
        <v>0</v>
      </c>
      <c r="N12" s="3">
        <f>0.2*(I12*3.77+J12*4.3+K12*1.1)</f>
        <v>0</v>
      </c>
      <c r="O12" s="265">
        <v>30000</v>
      </c>
      <c r="P12" s="3">
        <v>0</v>
      </c>
      <c r="Q12" s="3">
        <v>0</v>
      </c>
      <c r="R12" s="3">
        <v>0</v>
      </c>
      <c r="S12" s="3">
        <f>SUM(O12:R12)</f>
        <v>30000</v>
      </c>
      <c r="T12" s="3">
        <f>0.1*S12</f>
        <v>3000</v>
      </c>
      <c r="U12" s="3">
        <f>0.05*S12</f>
        <v>1500</v>
      </c>
      <c r="V12" s="3">
        <f>0.4*S12</f>
        <v>12000</v>
      </c>
      <c r="W12" s="3">
        <f>SUM(T12:V12)</f>
        <v>16500</v>
      </c>
      <c r="X12" s="3">
        <f>SUM(S12:U12)</f>
        <v>34500</v>
      </c>
      <c r="Y12" s="3">
        <f>(W12+S12)*(1-$AB$1)</f>
        <v>46500</v>
      </c>
      <c r="Z12" s="2">
        <v>5</v>
      </c>
    </row>
    <row r="13" spans="1:28" hidden="1" x14ac:dyDescent="0.25">
      <c r="A13" s="2">
        <v>12</v>
      </c>
      <c r="B13" s="256" t="s">
        <v>163</v>
      </c>
      <c r="C13" s="2" t="s">
        <v>14</v>
      </c>
      <c r="D13" s="2" t="s">
        <v>65</v>
      </c>
      <c r="E13" s="2" t="s">
        <v>102</v>
      </c>
      <c r="F13" s="2" t="s">
        <v>102</v>
      </c>
      <c r="G13" s="2" t="s">
        <v>50</v>
      </c>
      <c r="H13" s="4"/>
      <c r="I13" s="51">
        <v>0</v>
      </c>
      <c r="J13" s="262">
        <v>0</v>
      </c>
      <c r="K13" s="264">
        <v>0</v>
      </c>
      <c r="L13" s="3">
        <v>20000</v>
      </c>
      <c r="M13" s="3">
        <f t="shared" si="0"/>
        <v>0</v>
      </c>
      <c r="N13" s="3">
        <f t="shared" si="1"/>
        <v>0</v>
      </c>
      <c r="O13" s="265">
        <v>20000</v>
      </c>
      <c r="P13" s="3">
        <v>0</v>
      </c>
      <c r="Q13" s="3">
        <v>0</v>
      </c>
      <c r="R13" s="3">
        <v>0</v>
      </c>
      <c r="S13" s="3">
        <f t="shared" si="2"/>
        <v>20000</v>
      </c>
      <c r="T13" s="3">
        <f t="shared" si="3"/>
        <v>2000</v>
      </c>
      <c r="U13" s="3">
        <f t="shared" si="4"/>
        <v>1000</v>
      </c>
      <c r="V13" s="3">
        <f t="shared" si="5"/>
        <v>8000</v>
      </c>
      <c r="W13" s="3">
        <f t="shared" si="7"/>
        <v>11000</v>
      </c>
      <c r="X13" s="3">
        <f t="shared" si="8"/>
        <v>23000</v>
      </c>
      <c r="Y13" s="3">
        <f t="shared" si="6"/>
        <v>31000</v>
      </c>
      <c r="Z13" s="2">
        <v>5</v>
      </c>
    </row>
    <row r="14" spans="1:28" hidden="1" x14ac:dyDescent="0.25">
      <c r="A14" s="2">
        <v>13</v>
      </c>
      <c r="B14" s="256" t="s">
        <v>164</v>
      </c>
      <c r="C14" s="2" t="s">
        <v>14</v>
      </c>
      <c r="D14" s="2" t="s">
        <v>66</v>
      </c>
      <c r="E14" s="2" t="s">
        <v>102</v>
      </c>
      <c r="F14" s="2" t="s">
        <v>102</v>
      </c>
      <c r="G14" s="2" t="s">
        <v>50</v>
      </c>
      <c r="H14" s="4"/>
      <c r="I14" s="51">
        <v>0</v>
      </c>
      <c r="J14" s="262">
        <v>0</v>
      </c>
      <c r="K14" s="264">
        <v>0</v>
      </c>
      <c r="L14" s="3">
        <v>20000</v>
      </c>
      <c r="M14" s="3">
        <f t="shared" si="0"/>
        <v>0</v>
      </c>
      <c r="N14" s="3">
        <f t="shared" si="1"/>
        <v>0</v>
      </c>
      <c r="O14" s="265">
        <v>22000</v>
      </c>
      <c r="P14" s="3">
        <v>0</v>
      </c>
      <c r="Q14" s="3">
        <v>0</v>
      </c>
      <c r="R14" s="3">
        <v>0</v>
      </c>
      <c r="S14" s="3">
        <f t="shared" si="2"/>
        <v>22000</v>
      </c>
      <c r="T14" s="3">
        <f t="shared" si="3"/>
        <v>2200</v>
      </c>
      <c r="U14" s="3">
        <f t="shared" si="4"/>
        <v>1100</v>
      </c>
      <c r="V14" s="3">
        <f t="shared" si="5"/>
        <v>8800</v>
      </c>
      <c r="W14" s="3">
        <f t="shared" si="7"/>
        <v>12100</v>
      </c>
      <c r="X14" s="3">
        <f t="shared" si="8"/>
        <v>25300</v>
      </c>
      <c r="Y14" s="3">
        <f t="shared" si="6"/>
        <v>34100</v>
      </c>
      <c r="Z14" s="2">
        <v>5</v>
      </c>
    </row>
    <row r="15" spans="1:28" hidden="1" x14ac:dyDescent="0.25">
      <c r="A15" s="2">
        <v>14</v>
      </c>
      <c r="B15" s="256" t="s">
        <v>165</v>
      </c>
      <c r="C15" s="2" t="s">
        <v>14</v>
      </c>
      <c r="D15" s="2" t="s">
        <v>67</v>
      </c>
      <c r="E15" s="2" t="s">
        <v>102</v>
      </c>
      <c r="F15" s="2" t="s">
        <v>102</v>
      </c>
      <c r="G15" s="2" t="s">
        <v>50</v>
      </c>
      <c r="H15" s="4"/>
      <c r="I15" s="51">
        <v>0</v>
      </c>
      <c r="J15" s="262">
        <v>0</v>
      </c>
      <c r="K15" s="264">
        <v>0</v>
      </c>
      <c r="L15" s="3">
        <v>25000</v>
      </c>
      <c r="M15" s="3">
        <f t="shared" si="0"/>
        <v>0</v>
      </c>
      <c r="N15" s="3">
        <f t="shared" si="1"/>
        <v>0</v>
      </c>
      <c r="O15" s="265">
        <f t="shared" si="9"/>
        <v>25000</v>
      </c>
      <c r="P15" s="3">
        <v>0</v>
      </c>
      <c r="Q15" s="3">
        <v>0</v>
      </c>
      <c r="R15" s="3">
        <v>0</v>
      </c>
      <c r="S15" s="3">
        <f t="shared" si="2"/>
        <v>25000</v>
      </c>
      <c r="T15" s="3">
        <f t="shared" si="3"/>
        <v>2500</v>
      </c>
      <c r="U15" s="3">
        <f t="shared" si="4"/>
        <v>1250</v>
      </c>
      <c r="V15" s="3">
        <f t="shared" si="5"/>
        <v>10000</v>
      </c>
      <c r="W15" s="3">
        <f t="shared" si="7"/>
        <v>13750</v>
      </c>
      <c r="X15" s="3">
        <f t="shared" si="8"/>
        <v>28750</v>
      </c>
      <c r="Y15" s="3">
        <f t="shared" si="6"/>
        <v>38750</v>
      </c>
      <c r="Z15" s="2">
        <v>5</v>
      </c>
    </row>
    <row r="16" spans="1:28" hidden="1" x14ac:dyDescent="0.25">
      <c r="A16" s="2">
        <v>15</v>
      </c>
      <c r="B16" s="256" t="s">
        <v>166</v>
      </c>
      <c r="C16" s="2" t="s">
        <v>14</v>
      </c>
      <c r="D16" s="2" t="s">
        <v>68</v>
      </c>
      <c r="E16" s="2" t="s">
        <v>102</v>
      </c>
      <c r="F16" s="2" t="s">
        <v>102</v>
      </c>
      <c r="G16" s="2" t="s">
        <v>50</v>
      </c>
      <c r="H16" s="4"/>
      <c r="I16" s="51">
        <v>0</v>
      </c>
      <c r="J16" s="262">
        <v>0</v>
      </c>
      <c r="K16" s="264">
        <v>0</v>
      </c>
      <c r="L16" s="3">
        <v>30000</v>
      </c>
      <c r="M16" s="3">
        <f t="shared" si="0"/>
        <v>0</v>
      </c>
      <c r="N16" s="3">
        <f t="shared" si="1"/>
        <v>0</v>
      </c>
      <c r="O16" s="265">
        <v>28000</v>
      </c>
      <c r="P16" s="3">
        <v>0</v>
      </c>
      <c r="Q16" s="3">
        <v>0</v>
      </c>
      <c r="R16" s="3">
        <v>0</v>
      </c>
      <c r="S16" s="3">
        <f t="shared" si="2"/>
        <v>28000</v>
      </c>
      <c r="T16" s="3">
        <f t="shared" si="3"/>
        <v>2800</v>
      </c>
      <c r="U16" s="3">
        <f t="shared" si="4"/>
        <v>1400</v>
      </c>
      <c r="V16" s="3">
        <f t="shared" si="5"/>
        <v>11200</v>
      </c>
      <c r="W16" s="3">
        <f t="shared" si="7"/>
        <v>15400</v>
      </c>
      <c r="X16" s="3">
        <f t="shared" si="8"/>
        <v>32200</v>
      </c>
      <c r="Y16" s="3">
        <f t="shared" si="6"/>
        <v>43400</v>
      </c>
      <c r="Z16" s="2">
        <v>5</v>
      </c>
    </row>
    <row r="17" spans="1:26" hidden="1" x14ac:dyDescent="0.25">
      <c r="A17" s="2">
        <v>16</v>
      </c>
      <c r="B17" s="256" t="s">
        <v>167</v>
      </c>
      <c r="C17" s="2" t="s">
        <v>14</v>
      </c>
      <c r="D17" s="2" t="s">
        <v>69</v>
      </c>
      <c r="E17" s="2" t="s">
        <v>102</v>
      </c>
      <c r="F17" s="2" t="s">
        <v>102</v>
      </c>
      <c r="G17" s="2" t="s">
        <v>50</v>
      </c>
      <c r="H17" s="4"/>
      <c r="I17" s="51">
        <v>0</v>
      </c>
      <c r="J17" s="262">
        <v>0</v>
      </c>
      <c r="K17" s="264">
        <v>0</v>
      </c>
      <c r="L17" s="3">
        <v>30000</v>
      </c>
      <c r="M17" s="3">
        <f t="shared" si="0"/>
        <v>0</v>
      </c>
      <c r="N17" s="3">
        <f t="shared" si="1"/>
        <v>0</v>
      </c>
      <c r="O17" s="265">
        <f t="shared" si="9"/>
        <v>30000</v>
      </c>
      <c r="P17" s="3">
        <v>0</v>
      </c>
      <c r="Q17" s="3">
        <v>0</v>
      </c>
      <c r="R17" s="3">
        <v>0</v>
      </c>
      <c r="S17" s="3">
        <f t="shared" si="2"/>
        <v>30000</v>
      </c>
      <c r="T17" s="3">
        <f t="shared" si="3"/>
        <v>3000</v>
      </c>
      <c r="U17" s="3">
        <f t="shared" si="4"/>
        <v>1500</v>
      </c>
      <c r="V17" s="3">
        <f t="shared" si="5"/>
        <v>12000</v>
      </c>
      <c r="W17" s="3">
        <f t="shared" si="7"/>
        <v>16500</v>
      </c>
      <c r="X17" s="3">
        <f t="shared" si="8"/>
        <v>34500</v>
      </c>
      <c r="Y17" s="3">
        <f t="shared" si="6"/>
        <v>46500</v>
      </c>
      <c r="Z17" s="2">
        <v>5</v>
      </c>
    </row>
    <row r="18" spans="1:26" hidden="1" x14ac:dyDescent="0.25">
      <c r="A18" s="2">
        <v>17</v>
      </c>
      <c r="B18" s="256" t="s">
        <v>168</v>
      </c>
      <c r="C18" s="2" t="s">
        <v>14</v>
      </c>
      <c r="D18" s="2" t="s">
        <v>70</v>
      </c>
      <c r="E18" s="2" t="s">
        <v>102</v>
      </c>
      <c r="F18" s="2" t="s">
        <v>102</v>
      </c>
      <c r="G18" s="2" t="s">
        <v>50</v>
      </c>
      <c r="H18" s="4"/>
      <c r="I18" s="51">
        <v>0</v>
      </c>
      <c r="J18" s="262">
        <v>0</v>
      </c>
      <c r="K18" s="264">
        <v>0</v>
      </c>
      <c r="L18" s="3">
        <v>30000</v>
      </c>
      <c r="M18" s="3">
        <f t="shared" si="0"/>
        <v>0</v>
      </c>
      <c r="N18" s="3">
        <f t="shared" si="1"/>
        <v>0</v>
      </c>
      <c r="O18" s="265">
        <v>31000</v>
      </c>
      <c r="P18" s="3">
        <v>0</v>
      </c>
      <c r="Q18" s="3">
        <v>0</v>
      </c>
      <c r="R18" s="3">
        <v>0</v>
      </c>
      <c r="S18" s="3">
        <f t="shared" si="2"/>
        <v>31000</v>
      </c>
      <c r="T18" s="3">
        <f t="shared" si="3"/>
        <v>3100</v>
      </c>
      <c r="U18" s="3">
        <f t="shared" si="4"/>
        <v>1550</v>
      </c>
      <c r="V18" s="3">
        <f t="shared" si="5"/>
        <v>12400</v>
      </c>
      <c r="W18" s="3">
        <f t="shared" si="7"/>
        <v>17050</v>
      </c>
      <c r="X18" s="3">
        <f t="shared" si="8"/>
        <v>35650</v>
      </c>
      <c r="Y18" s="3">
        <f t="shared" si="6"/>
        <v>48050</v>
      </c>
      <c r="Z18" s="2">
        <v>5</v>
      </c>
    </row>
    <row r="19" spans="1:26" hidden="1" x14ac:dyDescent="0.25">
      <c r="A19" s="2">
        <v>18</v>
      </c>
      <c r="B19" s="256" t="s">
        <v>169</v>
      </c>
      <c r="C19" s="2" t="s">
        <v>14</v>
      </c>
      <c r="D19" s="2" t="s">
        <v>71</v>
      </c>
      <c r="E19" s="2" t="s">
        <v>102</v>
      </c>
      <c r="F19" s="2" t="s">
        <v>102</v>
      </c>
      <c r="G19" s="2" t="s">
        <v>50</v>
      </c>
      <c r="H19" s="4"/>
      <c r="I19" s="51">
        <v>0</v>
      </c>
      <c r="J19" s="262">
        <v>0</v>
      </c>
      <c r="K19" s="264">
        <v>0</v>
      </c>
      <c r="L19" s="3">
        <v>32000</v>
      </c>
      <c r="M19" s="3">
        <f t="shared" si="0"/>
        <v>0</v>
      </c>
      <c r="N19" s="3">
        <f t="shared" si="1"/>
        <v>0</v>
      </c>
      <c r="O19" s="265">
        <f t="shared" si="9"/>
        <v>32000</v>
      </c>
      <c r="P19" s="3">
        <v>0</v>
      </c>
      <c r="Q19" s="3">
        <v>0</v>
      </c>
      <c r="R19" s="3">
        <v>0</v>
      </c>
      <c r="S19" s="3">
        <f t="shared" si="2"/>
        <v>32000</v>
      </c>
      <c r="T19" s="3">
        <f t="shared" si="3"/>
        <v>3200</v>
      </c>
      <c r="U19" s="3">
        <f t="shared" si="4"/>
        <v>1600</v>
      </c>
      <c r="V19" s="3">
        <f t="shared" si="5"/>
        <v>12800</v>
      </c>
      <c r="W19" s="3">
        <f t="shared" si="7"/>
        <v>17600</v>
      </c>
      <c r="X19" s="3">
        <f t="shared" si="8"/>
        <v>36800</v>
      </c>
      <c r="Y19" s="3">
        <f t="shared" si="6"/>
        <v>49600</v>
      </c>
      <c r="Z19" s="2">
        <v>5</v>
      </c>
    </row>
    <row r="20" spans="1:26" hidden="1" x14ac:dyDescent="0.25">
      <c r="A20" s="2">
        <v>19</v>
      </c>
      <c r="B20" s="256" t="s">
        <v>667</v>
      </c>
      <c r="C20" s="2" t="s">
        <v>14</v>
      </c>
      <c r="D20" s="2" t="s">
        <v>459</v>
      </c>
      <c r="E20" s="2" t="s">
        <v>102</v>
      </c>
      <c r="F20" s="2" t="s">
        <v>102</v>
      </c>
      <c r="G20" s="2" t="s">
        <v>50</v>
      </c>
      <c r="H20" s="4"/>
      <c r="I20" s="51">
        <v>0</v>
      </c>
      <c r="J20" s="262">
        <v>0</v>
      </c>
      <c r="K20" s="264">
        <v>0</v>
      </c>
      <c r="L20" s="3">
        <v>32000</v>
      </c>
      <c r="M20" s="3">
        <f t="shared" si="0"/>
        <v>0</v>
      </c>
      <c r="N20" s="3">
        <f t="shared" si="1"/>
        <v>0</v>
      </c>
      <c r="O20" s="265">
        <v>33000</v>
      </c>
      <c r="P20" s="3">
        <v>0</v>
      </c>
      <c r="Q20" s="3">
        <v>0</v>
      </c>
      <c r="R20" s="3">
        <v>0</v>
      </c>
      <c r="S20" s="3">
        <f t="shared" si="2"/>
        <v>33000</v>
      </c>
      <c r="T20" s="3">
        <f t="shared" si="3"/>
        <v>3300</v>
      </c>
      <c r="U20" s="3">
        <f t="shared" si="4"/>
        <v>1650</v>
      </c>
      <c r="V20" s="3">
        <f t="shared" si="5"/>
        <v>13200</v>
      </c>
      <c r="W20" s="3">
        <f t="shared" ref="W20" si="10">SUM(T20:V20)</f>
        <v>18150</v>
      </c>
      <c r="X20" s="3">
        <f t="shared" ref="X20" si="11">SUM(S20:U20)</f>
        <v>37950</v>
      </c>
      <c r="Y20" s="3">
        <f t="shared" si="6"/>
        <v>51150</v>
      </c>
      <c r="Z20" s="2">
        <v>5</v>
      </c>
    </row>
    <row r="21" spans="1:26" hidden="1" x14ac:dyDescent="0.25">
      <c r="A21" s="2">
        <v>20</v>
      </c>
      <c r="B21" s="256" t="s">
        <v>170</v>
      </c>
      <c r="C21" s="2" t="s">
        <v>14</v>
      </c>
      <c r="D21" s="2" t="s">
        <v>72</v>
      </c>
      <c r="E21" s="2" t="s">
        <v>102</v>
      </c>
      <c r="F21" s="2" t="s">
        <v>102</v>
      </c>
      <c r="G21" s="2" t="s">
        <v>50</v>
      </c>
      <c r="H21" s="4"/>
      <c r="I21" s="51">
        <v>0</v>
      </c>
      <c r="J21" s="262">
        <v>0</v>
      </c>
      <c r="K21" s="264">
        <v>0</v>
      </c>
      <c r="L21" s="3">
        <v>33400</v>
      </c>
      <c r="M21" s="3">
        <f t="shared" si="0"/>
        <v>0</v>
      </c>
      <c r="N21" s="3">
        <f t="shared" si="1"/>
        <v>0</v>
      </c>
      <c r="O21" s="265">
        <v>34000</v>
      </c>
      <c r="P21" s="3">
        <v>0</v>
      </c>
      <c r="Q21" s="3">
        <v>0</v>
      </c>
      <c r="R21" s="3">
        <v>0</v>
      </c>
      <c r="S21" s="3">
        <f t="shared" si="2"/>
        <v>34000</v>
      </c>
      <c r="T21" s="3">
        <f t="shared" si="3"/>
        <v>3400</v>
      </c>
      <c r="U21" s="3">
        <f t="shared" si="4"/>
        <v>1700</v>
      </c>
      <c r="V21" s="3">
        <f t="shared" si="5"/>
        <v>13600</v>
      </c>
      <c r="W21" s="3">
        <f t="shared" si="7"/>
        <v>18700</v>
      </c>
      <c r="X21" s="3">
        <f t="shared" si="8"/>
        <v>39100</v>
      </c>
      <c r="Y21" s="3">
        <f t="shared" si="6"/>
        <v>52700</v>
      </c>
      <c r="Z21" s="2">
        <v>5</v>
      </c>
    </row>
    <row r="22" spans="1:26" hidden="1" x14ac:dyDescent="0.25">
      <c r="A22" s="2">
        <v>21</v>
      </c>
      <c r="B22" s="256" t="s">
        <v>171</v>
      </c>
      <c r="C22" s="2" t="s">
        <v>14</v>
      </c>
      <c r="D22" s="2" t="s">
        <v>73</v>
      </c>
      <c r="E22" s="2" t="s">
        <v>102</v>
      </c>
      <c r="F22" s="2" t="s">
        <v>102</v>
      </c>
      <c r="G22" s="2" t="s">
        <v>50</v>
      </c>
      <c r="H22" s="4"/>
      <c r="I22" s="51">
        <v>0</v>
      </c>
      <c r="J22" s="262">
        <v>0</v>
      </c>
      <c r="K22" s="264">
        <v>0</v>
      </c>
      <c r="L22" s="3">
        <v>35000</v>
      </c>
      <c r="M22" s="3">
        <f t="shared" si="0"/>
        <v>0</v>
      </c>
      <c r="N22" s="3">
        <f t="shared" si="1"/>
        <v>0</v>
      </c>
      <c r="O22" s="265">
        <f t="shared" si="9"/>
        <v>35000</v>
      </c>
      <c r="P22" s="3">
        <v>0</v>
      </c>
      <c r="Q22" s="3">
        <v>0</v>
      </c>
      <c r="R22" s="3">
        <v>0</v>
      </c>
      <c r="S22" s="3">
        <f t="shared" si="2"/>
        <v>35000</v>
      </c>
      <c r="T22" s="3">
        <f t="shared" si="3"/>
        <v>3500</v>
      </c>
      <c r="U22" s="3">
        <f t="shared" si="4"/>
        <v>1750</v>
      </c>
      <c r="V22" s="3">
        <f t="shared" si="5"/>
        <v>14000</v>
      </c>
      <c r="W22" s="3">
        <f t="shared" si="7"/>
        <v>19250</v>
      </c>
      <c r="X22" s="3">
        <f t="shared" si="8"/>
        <v>40250</v>
      </c>
      <c r="Y22" s="3">
        <f t="shared" si="6"/>
        <v>54250</v>
      </c>
      <c r="Z22" s="2">
        <v>5</v>
      </c>
    </row>
    <row r="23" spans="1:26" hidden="1" x14ac:dyDescent="0.25">
      <c r="A23" s="2">
        <v>22</v>
      </c>
      <c r="B23" s="256" t="s">
        <v>172</v>
      </c>
      <c r="C23" s="2" t="s">
        <v>14</v>
      </c>
      <c r="D23" s="2" t="s">
        <v>74</v>
      </c>
      <c r="E23" s="2" t="s">
        <v>102</v>
      </c>
      <c r="F23" s="2" t="s">
        <v>102</v>
      </c>
      <c r="G23" s="2" t="s">
        <v>50</v>
      </c>
      <c r="H23" s="4"/>
      <c r="I23" s="51">
        <v>0</v>
      </c>
      <c r="J23" s="262">
        <v>0</v>
      </c>
      <c r="K23" s="264">
        <v>0</v>
      </c>
      <c r="L23" s="3">
        <v>40000</v>
      </c>
      <c r="M23" s="3">
        <f t="shared" si="0"/>
        <v>0</v>
      </c>
      <c r="N23" s="3">
        <f t="shared" si="1"/>
        <v>0</v>
      </c>
      <c r="O23" s="265">
        <v>38000</v>
      </c>
      <c r="P23" s="3">
        <v>0</v>
      </c>
      <c r="Q23" s="3">
        <v>0</v>
      </c>
      <c r="R23" s="3">
        <v>0</v>
      </c>
      <c r="S23" s="3">
        <f t="shared" si="2"/>
        <v>38000</v>
      </c>
      <c r="T23" s="3">
        <f t="shared" si="3"/>
        <v>3800</v>
      </c>
      <c r="U23" s="3">
        <f t="shared" si="4"/>
        <v>1900</v>
      </c>
      <c r="V23" s="3">
        <f t="shared" si="5"/>
        <v>15200</v>
      </c>
      <c r="W23" s="3">
        <f t="shared" si="7"/>
        <v>20900</v>
      </c>
      <c r="X23" s="3">
        <f t="shared" si="8"/>
        <v>43700</v>
      </c>
      <c r="Y23" s="3">
        <f t="shared" si="6"/>
        <v>58900</v>
      </c>
      <c r="Z23" s="2">
        <v>5</v>
      </c>
    </row>
    <row r="24" spans="1:26" hidden="1" x14ac:dyDescent="0.25">
      <c r="A24" s="2">
        <v>374</v>
      </c>
      <c r="B24" s="256" t="s">
        <v>250</v>
      </c>
      <c r="C24" s="2" t="s">
        <v>14</v>
      </c>
      <c r="D24" s="2" t="s">
        <v>131</v>
      </c>
      <c r="E24" s="2" t="s">
        <v>102</v>
      </c>
      <c r="F24" s="2" t="s">
        <v>102</v>
      </c>
      <c r="G24" s="2" t="s">
        <v>50</v>
      </c>
      <c r="H24" s="4"/>
      <c r="I24" s="51">
        <v>0</v>
      </c>
      <c r="J24" s="262">
        <v>0</v>
      </c>
      <c r="K24" s="264">
        <v>0</v>
      </c>
      <c r="L24" s="3">
        <v>40000</v>
      </c>
      <c r="M24" s="3">
        <f>0.15*(I24*3.77+J24*4.3+K24*1.1)</f>
        <v>0</v>
      </c>
      <c r="N24" s="3">
        <f>0.2*(I24*3.77+J24*4.3+K24*1.1)</f>
        <v>0</v>
      </c>
      <c r="O24" s="265">
        <v>38500</v>
      </c>
      <c r="P24" s="3">
        <v>0</v>
      </c>
      <c r="Q24" s="3">
        <v>0</v>
      </c>
      <c r="R24" s="3">
        <v>0</v>
      </c>
      <c r="S24" s="3">
        <f>SUM(O24:R24)</f>
        <v>38500</v>
      </c>
      <c r="T24" s="3">
        <f>0.1*S24</f>
        <v>3850</v>
      </c>
      <c r="U24" s="3">
        <f>0.05*S24</f>
        <v>1925</v>
      </c>
      <c r="V24" s="3">
        <f>0.4*S24</f>
        <v>15400</v>
      </c>
      <c r="W24" s="3">
        <f t="shared" ref="W24" si="12">SUM(T24:V24)</f>
        <v>21175</v>
      </c>
      <c r="X24" s="3">
        <f t="shared" ref="X24" si="13">SUM(S24:U24)</f>
        <v>44275</v>
      </c>
      <c r="Y24" s="3">
        <f>(W24+S24)*(1-$AB$1)</f>
        <v>59675</v>
      </c>
      <c r="Z24" s="2">
        <v>5</v>
      </c>
    </row>
    <row r="25" spans="1:26" hidden="1" x14ac:dyDescent="0.25">
      <c r="A25" s="2">
        <v>23</v>
      </c>
      <c r="B25" s="256" t="s">
        <v>173</v>
      </c>
      <c r="C25" s="2" t="s">
        <v>14</v>
      </c>
      <c r="D25" s="2" t="s">
        <v>65</v>
      </c>
      <c r="E25" s="2" t="s">
        <v>102</v>
      </c>
      <c r="F25" s="2" t="s">
        <v>102</v>
      </c>
      <c r="G25" s="2" t="s">
        <v>50</v>
      </c>
      <c r="H25" s="4"/>
      <c r="I25" s="51">
        <v>0</v>
      </c>
      <c r="J25" s="262">
        <v>0</v>
      </c>
      <c r="K25" s="264">
        <v>0</v>
      </c>
      <c r="L25" s="3">
        <v>11000</v>
      </c>
      <c r="M25" s="3">
        <f t="shared" si="0"/>
        <v>0</v>
      </c>
      <c r="N25" s="3">
        <f t="shared" si="1"/>
        <v>0</v>
      </c>
      <c r="O25" s="265">
        <f t="shared" si="9"/>
        <v>11000</v>
      </c>
      <c r="P25" s="3">
        <v>0</v>
      </c>
      <c r="Q25" s="3">
        <v>0</v>
      </c>
      <c r="R25" s="3">
        <v>0</v>
      </c>
      <c r="S25" s="3">
        <f t="shared" si="2"/>
        <v>11000</v>
      </c>
      <c r="T25" s="3">
        <f t="shared" si="3"/>
        <v>1100</v>
      </c>
      <c r="U25" s="3">
        <f t="shared" si="4"/>
        <v>550</v>
      </c>
      <c r="V25" s="3">
        <f t="shared" si="5"/>
        <v>4400</v>
      </c>
      <c r="W25" s="3">
        <f t="shared" si="7"/>
        <v>6050</v>
      </c>
      <c r="X25" s="3">
        <f t="shared" si="8"/>
        <v>12650</v>
      </c>
      <c r="Y25" s="3">
        <f t="shared" si="6"/>
        <v>17050</v>
      </c>
      <c r="Z25" s="2">
        <v>5</v>
      </c>
    </row>
    <row r="26" spans="1:26" hidden="1" x14ac:dyDescent="0.25">
      <c r="A26" s="2">
        <v>24</v>
      </c>
      <c r="B26" s="256" t="s">
        <v>174</v>
      </c>
      <c r="C26" s="2" t="s">
        <v>14</v>
      </c>
      <c r="D26" s="2" t="s">
        <v>66</v>
      </c>
      <c r="E26" s="2" t="s">
        <v>102</v>
      </c>
      <c r="F26" s="2" t="s">
        <v>102</v>
      </c>
      <c r="G26" s="2" t="s">
        <v>50</v>
      </c>
      <c r="H26" s="4"/>
      <c r="I26" s="51">
        <v>0</v>
      </c>
      <c r="J26" s="262">
        <v>0</v>
      </c>
      <c r="K26" s="264">
        <v>0</v>
      </c>
      <c r="L26" s="3">
        <v>11500</v>
      </c>
      <c r="M26" s="3">
        <f t="shared" si="0"/>
        <v>0</v>
      </c>
      <c r="N26" s="3">
        <f t="shared" si="1"/>
        <v>0</v>
      </c>
      <c r="O26" s="265">
        <f t="shared" si="9"/>
        <v>11500</v>
      </c>
      <c r="P26" s="3">
        <v>0</v>
      </c>
      <c r="Q26" s="3">
        <v>0</v>
      </c>
      <c r="R26" s="3">
        <v>0</v>
      </c>
      <c r="S26" s="3">
        <f t="shared" si="2"/>
        <v>11500</v>
      </c>
      <c r="T26" s="3">
        <f t="shared" si="3"/>
        <v>1150</v>
      </c>
      <c r="U26" s="3">
        <f t="shared" si="4"/>
        <v>575</v>
      </c>
      <c r="V26" s="3">
        <f t="shared" si="5"/>
        <v>4600</v>
      </c>
      <c r="W26" s="3">
        <f t="shared" si="7"/>
        <v>6325</v>
      </c>
      <c r="X26" s="3">
        <f t="shared" si="8"/>
        <v>13225</v>
      </c>
      <c r="Y26" s="3">
        <f t="shared" si="6"/>
        <v>17825</v>
      </c>
      <c r="Z26" s="2">
        <v>5</v>
      </c>
    </row>
    <row r="27" spans="1:26" hidden="1" x14ac:dyDescent="0.25">
      <c r="A27" s="2">
        <v>25</v>
      </c>
      <c r="B27" s="256" t="s">
        <v>175</v>
      </c>
      <c r="C27" s="2" t="s">
        <v>14</v>
      </c>
      <c r="D27" s="2" t="s">
        <v>67</v>
      </c>
      <c r="E27" s="2" t="s">
        <v>102</v>
      </c>
      <c r="F27" s="2" t="s">
        <v>102</v>
      </c>
      <c r="G27" s="2" t="s">
        <v>50</v>
      </c>
      <c r="H27" s="4"/>
      <c r="I27" s="51">
        <v>0</v>
      </c>
      <c r="J27" s="262">
        <v>0</v>
      </c>
      <c r="K27" s="264">
        <v>0</v>
      </c>
      <c r="L27" s="3">
        <v>12000</v>
      </c>
      <c r="M27" s="3">
        <f t="shared" si="0"/>
        <v>0</v>
      </c>
      <c r="N27" s="3">
        <f t="shared" si="1"/>
        <v>0</v>
      </c>
      <c r="O27" s="265">
        <f t="shared" si="9"/>
        <v>12000</v>
      </c>
      <c r="P27" s="3">
        <v>0</v>
      </c>
      <c r="Q27" s="3">
        <v>0</v>
      </c>
      <c r="R27" s="3">
        <v>0</v>
      </c>
      <c r="S27" s="3">
        <f t="shared" si="2"/>
        <v>12000</v>
      </c>
      <c r="T27" s="3">
        <f t="shared" si="3"/>
        <v>1200</v>
      </c>
      <c r="U27" s="3">
        <f t="shared" si="4"/>
        <v>600</v>
      </c>
      <c r="V27" s="3">
        <f t="shared" si="5"/>
        <v>4800</v>
      </c>
      <c r="W27" s="3">
        <f t="shared" si="7"/>
        <v>6600</v>
      </c>
      <c r="X27" s="3">
        <f t="shared" si="8"/>
        <v>13800</v>
      </c>
      <c r="Y27" s="3">
        <f t="shared" si="6"/>
        <v>18600</v>
      </c>
      <c r="Z27" s="2">
        <v>5</v>
      </c>
    </row>
    <row r="28" spans="1:26" hidden="1" x14ac:dyDescent="0.25">
      <c r="A28" s="2">
        <v>26</v>
      </c>
      <c r="B28" s="256" t="s">
        <v>176</v>
      </c>
      <c r="C28" s="2" t="s">
        <v>14</v>
      </c>
      <c r="D28" s="2" t="s">
        <v>68</v>
      </c>
      <c r="E28" s="2" t="s">
        <v>102</v>
      </c>
      <c r="F28" s="2" t="s">
        <v>102</v>
      </c>
      <c r="G28" s="2" t="s">
        <v>50</v>
      </c>
      <c r="H28" s="4"/>
      <c r="I28" s="51">
        <v>0</v>
      </c>
      <c r="J28" s="262">
        <v>0</v>
      </c>
      <c r="K28" s="264">
        <v>0</v>
      </c>
      <c r="L28" s="3">
        <v>12500</v>
      </c>
      <c r="M28" s="3">
        <f t="shared" si="0"/>
        <v>0</v>
      </c>
      <c r="N28" s="3">
        <f t="shared" si="1"/>
        <v>0</v>
      </c>
      <c r="O28" s="265">
        <f t="shared" si="9"/>
        <v>12500</v>
      </c>
      <c r="P28" s="3">
        <v>0</v>
      </c>
      <c r="Q28" s="3">
        <v>0</v>
      </c>
      <c r="R28" s="3">
        <v>0</v>
      </c>
      <c r="S28" s="3">
        <f t="shared" si="2"/>
        <v>12500</v>
      </c>
      <c r="T28" s="3">
        <f t="shared" si="3"/>
        <v>1250</v>
      </c>
      <c r="U28" s="3">
        <f t="shared" si="4"/>
        <v>625</v>
      </c>
      <c r="V28" s="3">
        <f t="shared" si="5"/>
        <v>5000</v>
      </c>
      <c r="W28" s="3">
        <f t="shared" si="7"/>
        <v>6875</v>
      </c>
      <c r="X28" s="3">
        <f t="shared" si="8"/>
        <v>14375</v>
      </c>
      <c r="Y28" s="3">
        <f t="shared" si="6"/>
        <v>19375</v>
      </c>
      <c r="Z28" s="2">
        <v>5</v>
      </c>
    </row>
    <row r="29" spans="1:26" hidden="1" x14ac:dyDescent="0.25">
      <c r="A29" s="2">
        <v>27</v>
      </c>
      <c r="B29" s="256" t="s">
        <v>177</v>
      </c>
      <c r="C29" s="2" t="s">
        <v>14</v>
      </c>
      <c r="D29" s="2" t="s">
        <v>69</v>
      </c>
      <c r="E29" s="2" t="s">
        <v>102</v>
      </c>
      <c r="F29" s="2" t="s">
        <v>102</v>
      </c>
      <c r="G29" s="2" t="s">
        <v>50</v>
      </c>
      <c r="H29" s="4"/>
      <c r="I29" s="51">
        <v>0</v>
      </c>
      <c r="J29" s="262">
        <v>0</v>
      </c>
      <c r="K29" s="264">
        <v>0</v>
      </c>
      <c r="L29" s="3">
        <v>13000</v>
      </c>
      <c r="M29" s="3">
        <f t="shared" si="0"/>
        <v>0</v>
      </c>
      <c r="N29" s="3">
        <f t="shared" si="1"/>
        <v>0</v>
      </c>
      <c r="O29" s="265">
        <f t="shared" si="9"/>
        <v>13000</v>
      </c>
      <c r="P29" s="3">
        <v>0</v>
      </c>
      <c r="Q29" s="3">
        <v>0</v>
      </c>
      <c r="R29" s="3">
        <v>0</v>
      </c>
      <c r="S29" s="3">
        <f t="shared" si="2"/>
        <v>13000</v>
      </c>
      <c r="T29" s="3">
        <f t="shared" si="3"/>
        <v>1300</v>
      </c>
      <c r="U29" s="3">
        <f t="shared" si="4"/>
        <v>650</v>
      </c>
      <c r="V29" s="3">
        <f t="shared" si="5"/>
        <v>5200</v>
      </c>
      <c r="W29" s="3">
        <f t="shared" si="7"/>
        <v>7150</v>
      </c>
      <c r="X29" s="3">
        <f t="shared" si="8"/>
        <v>14950</v>
      </c>
      <c r="Y29" s="3">
        <f t="shared" si="6"/>
        <v>20150</v>
      </c>
      <c r="Z29" s="2">
        <v>5</v>
      </c>
    </row>
    <row r="30" spans="1:26" hidden="1" x14ac:dyDescent="0.25">
      <c r="A30" s="2">
        <v>28</v>
      </c>
      <c r="B30" s="256" t="s">
        <v>178</v>
      </c>
      <c r="C30" s="2" t="s">
        <v>14</v>
      </c>
      <c r="D30" s="2" t="s">
        <v>70</v>
      </c>
      <c r="E30" s="2" t="s">
        <v>102</v>
      </c>
      <c r="F30" s="2" t="s">
        <v>102</v>
      </c>
      <c r="G30" s="2" t="s">
        <v>50</v>
      </c>
      <c r="H30" s="4"/>
      <c r="I30" s="51">
        <v>0</v>
      </c>
      <c r="J30" s="262">
        <v>0</v>
      </c>
      <c r="K30" s="264">
        <v>0</v>
      </c>
      <c r="L30" s="3">
        <v>14000</v>
      </c>
      <c r="M30" s="3">
        <f t="shared" si="0"/>
        <v>0</v>
      </c>
      <c r="N30" s="3">
        <f t="shared" si="1"/>
        <v>0</v>
      </c>
      <c r="O30" s="265">
        <f t="shared" si="9"/>
        <v>14000</v>
      </c>
      <c r="P30" s="3">
        <v>0</v>
      </c>
      <c r="Q30" s="3">
        <v>0</v>
      </c>
      <c r="R30" s="3">
        <v>0</v>
      </c>
      <c r="S30" s="3">
        <f t="shared" si="2"/>
        <v>14000</v>
      </c>
      <c r="T30" s="3">
        <f t="shared" si="3"/>
        <v>1400</v>
      </c>
      <c r="U30" s="3">
        <f t="shared" si="4"/>
        <v>700</v>
      </c>
      <c r="V30" s="3">
        <f t="shared" si="5"/>
        <v>5600</v>
      </c>
      <c r="W30" s="3">
        <f t="shared" si="7"/>
        <v>7700</v>
      </c>
      <c r="X30" s="3">
        <f t="shared" si="8"/>
        <v>16100</v>
      </c>
      <c r="Y30" s="3">
        <f t="shared" si="6"/>
        <v>21700</v>
      </c>
      <c r="Z30" s="2">
        <v>5</v>
      </c>
    </row>
    <row r="31" spans="1:26" hidden="1" x14ac:dyDescent="0.25">
      <c r="A31" s="2">
        <v>29</v>
      </c>
      <c r="B31" s="256" t="s">
        <v>179</v>
      </c>
      <c r="C31" s="2" t="s">
        <v>14</v>
      </c>
      <c r="D31" s="2" t="s">
        <v>71</v>
      </c>
      <c r="E31" s="2" t="s">
        <v>102</v>
      </c>
      <c r="F31" s="2" t="s">
        <v>102</v>
      </c>
      <c r="G31" s="2" t="s">
        <v>50</v>
      </c>
      <c r="H31" s="4"/>
      <c r="I31" s="51">
        <v>0</v>
      </c>
      <c r="J31" s="262">
        <v>0</v>
      </c>
      <c r="K31" s="264">
        <v>0</v>
      </c>
      <c r="L31" s="3">
        <v>15000</v>
      </c>
      <c r="M31" s="3">
        <f t="shared" si="0"/>
        <v>0</v>
      </c>
      <c r="N31" s="3">
        <f t="shared" si="1"/>
        <v>0</v>
      </c>
      <c r="O31" s="265">
        <f t="shared" si="9"/>
        <v>15000</v>
      </c>
      <c r="P31" s="3">
        <v>0</v>
      </c>
      <c r="Q31" s="3">
        <v>0</v>
      </c>
      <c r="R31" s="3">
        <v>0</v>
      </c>
      <c r="S31" s="3">
        <f t="shared" si="2"/>
        <v>15000</v>
      </c>
      <c r="T31" s="3">
        <f t="shared" si="3"/>
        <v>1500</v>
      </c>
      <c r="U31" s="3">
        <f t="shared" si="4"/>
        <v>750</v>
      </c>
      <c r="V31" s="3">
        <f t="shared" si="5"/>
        <v>6000</v>
      </c>
      <c r="W31" s="3">
        <f t="shared" si="7"/>
        <v>8250</v>
      </c>
      <c r="X31" s="3">
        <f t="shared" si="8"/>
        <v>17250</v>
      </c>
      <c r="Y31" s="3">
        <f t="shared" si="6"/>
        <v>23250</v>
      </c>
      <c r="Z31" s="2">
        <v>5</v>
      </c>
    </row>
    <row r="32" spans="1:26" hidden="1" x14ac:dyDescent="0.25">
      <c r="A32" s="2">
        <v>30</v>
      </c>
      <c r="B32" s="256" t="s">
        <v>180</v>
      </c>
      <c r="C32" s="2" t="s">
        <v>14</v>
      </c>
      <c r="D32" s="2" t="s">
        <v>72</v>
      </c>
      <c r="E32" s="2" t="s">
        <v>102</v>
      </c>
      <c r="F32" s="2" t="s">
        <v>102</v>
      </c>
      <c r="G32" s="2" t="s">
        <v>50</v>
      </c>
      <c r="H32" s="4"/>
      <c r="I32" s="51">
        <v>0</v>
      </c>
      <c r="J32" s="262">
        <v>0</v>
      </c>
      <c r="K32" s="264">
        <v>0</v>
      </c>
      <c r="L32" s="295">
        <v>16000</v>
      </c>
      <c r="M32" s="3">
        <f t="shared" si="0"/>
        <v>0</v>
      </c>
      <c r="N32" s="3">
        <f t="shared" si="1"/>
        <v>0</v>
      </c>
      <c r="O32" s="265">
        <f t="shared" si="9"/>
        <v>16000</v>
      </c>
      <c r="P32" s="3">
        <v>0</v>
      </c>
      <c r="Q32" s="3">
        <v>0</v>
      </c>
      <c r="R32" s="3">
        <v>0</v>
      </c>
      <c r="S32" s="3">
        <f t="shared" si="2"/>
        <v>16000</v>
      </c>
      <c r="T32" s="3">
        <f t="shared" si="3"/>
        <v>1600</v>
      </c>
      <c r="U32" s="3">
        <f t="shared" si="4"/>
        <v>800</v>
      </c>
      <c r="V32" s="3">
        <f t="shared" si="5"/>
        <v>6400</v>
      </c>
      <c r="W32" s="3">
        <f t="shared" si="7"/>
        <v>8800</v>
      </c>
      <c r="X32" s="3">
        <f t="shared" si="8"/>
        <v>18400</v>
      </c>
      <c r="Y32" s="3">
        <f t="shared" si="6"/>
        <v>24800</v>
      </c>
      <c r="Z32" s="2">
        <v>5</v>
      </c>
    </row>
    <row r="33" spans="1:27" hidden="1" x14ac:dyDescent="0.25">
      <c r="A33" s="2">
        <v>31</v>
      </c>
      <c r="B33" s="256" t="s">
        <v>181</v>
      </c>
      <c r="C33" s="2" t="s">
        <v>14</v>
      </c>
      <c r="D33" s="2" t="s">
        <v>73</v>
      </c>
      <c r="E33" s="2" t="s">
        <v>102</v>
      </c>
      <c r="F33" s="2" t="s">
        <v>102</v>
      </c>
      <c r="G33" s="2" t="s">
        <v>50</v>
      </c>
      <c r="H33" s="4"/>
      <c r="I33" s="51">
        <v>0</v>
      </c>
      <c r="J33" s="262">
        <v>0</v>
      </c>
      <c r="K33" s="264">
        <v>0</v>
      </c>
      <c r="L33" s="295">
        <v>16500</v>
      </c>
      <c r="M33" s="3">
        <f t="shared" si="0"/>
        <v>0</v>
      </c>
      <c r="N33" s="3">
        <f t="shared" si="1"/>
        <v>0</v>
      </c>
      <c r="O33" s="265">
        <f t="shared" si="9"/>
        <v>16500</v>
      </c>
      <c r="P33" s="3">
        <v>0</v>
      </c>
      <c r="Q33" s="3">
        <v>0</v>
      </c>
      <c r="R33" s="3">
        <v>0</v>
      </c>
      <c r="S33" s="3">
        <f t="shared" si="2"/>
        <v>16500</v>
      </c>
      <c r="T33" s="3">
        <f t="shared" si="3"/>
        <v>1650</v>
      </c>
      <c r="U33" s="3">
        <f t="shared" si="4"/>
        <v>825</v>
      </c>
      <c r="V33" s="3">
        <f t="shared" si="5"/>
        <v>6600</v>
      </c>
      <c r="W33" s="3">
        <f t="shared" si="7"/>
        <v>9075</v>
      </c>
      <c r="X33" s="3">
        <f t="shared" si="8"/>
        <v>18975</v>
      </c>
      <c r="Y33" s="3">
        <f t="shared" si="6"/>
        <v>25575</v>
      </c>
      <c r="Z33" s="2">
        <v>5</v>
      </c>
    </row>
    <row r="34" spans="1:27" hidden="1" x14ac:dyDescent="0.25">
      <c r="A34" s="2">
        <v>32</v>
      </c>
      <c r="B34" s="256" t="s">
        <v>182</v>
      </c>
      <c r="C34" s="2" t="s">
        <v>14</v>
      </c>
      <c r="D34" s="2" t="s">
        <v>74</v>
      </c>
      <c r="E34" s="2" t="s">
        <v>102</v>
      </c>
      <c r="F34" s="2" t="s">
        <v>102</v>
      </c>
      <c r="G34" s="2" t="s">
        <v>50</v>
      </c>
      <c r="H34" s="4"/>
      <c r="I34" s="51">
        <v>0</v>
      </c>
      <c r="J34" s="262">
        <v>0</v>
      </c>
      <c r="K34" s="264">
        <v>0</v>
      </c>
      <c r="L34" s="295">
        <v>17000</v>
      </c>
      <c r="M34" s="3">
        <f t="shared" si="0"/>
        <v>0</v>
      </c>
      <c r="N34" s="3">
        <f t="shared" si="1"/>
        <v>0</v>
      </c>
      <c r="O34" s="265">
        <f t="shared" si="9"/>
        <v>17000</v>
      </c>
      <c r="P34" s="3">
        <v>0</v>
      </c>
      <c r="Q34" s="3">
        <v>0</v>
      </c>
      <c r="R34" s="3">
        <v>0</v>
      </c>
      <c r="S34" s="3">
        <f t="shared" si="2"/>
        <v>17000</v>
      </c>
      <c r="T34" s="3">
        <f t="shared" si="3"/>
        <v>1700</v>
      </c>
      <c r="U34" s="3">
        <f t="shared" si="4"/>
        <v>850</v>
      </c>
      <c r="V34" s="3">
        <f t="shared" si="5"/>
        <v>6800</v>
      </c>
      <c r="W34" s="3">
        <f t="shared" si="7"/>
        <v>9350</v>
      </c>
      <c r="X34" s="3">
        <f t="shared" si="8"/>
        <v>19550</v>
      </c>
      <c r="Y34" s="3">
        <f t="shared" si="6"/>
        <v>26350</v>
      </c>
      <c r="Z34" s="2">
        <v>10</v>
      </c>
    </row>
    <row r="35" spans="1:27" hidden="1" x14ac:dyDescent="0.25">
      <c r="A35" s="2">
        <v>33</v>
      </c>
      <c r="B35" s="256" t="s">
        <v>514</v>
      </c>
      <c r="C35" s="2" t="s">
        <v>14</v>
      </c>
      <c r="D35" s="2" t="s">
        <v>298</v>
      </c>
      <c r="E35" s="2" t="s">
        <v>102</v>
      </c>
      <c r="F35" s="2" t="s">
        <v>102</v>
      </c>
      <c r="G35" s="2" t="s">
        <v>50</v>
      </c>
      <c r="H35" s="4"/>
      <c r="I35" s="51">
        <v>0</v>
      </c>
      <c r="J35" s="262">
        <v>0</v>
      </c>
      <c r="K35" s="264">
        <v>0</v>
      </c>
      <c r="L35" s="295">
        <v>20000</v>
      </c>
      <c r="M35" s="3">
        <f t="shared" si="0"/>
        <v>0</v>
      </c>
      <c r="N35" s="3">
        <f t="shared" si="1"/>
        <v>0</v>
      </c>
      <c r="O35" s="265">
        <f t="shared" si="9"/>
        <v>20000</v>
      </c>
      <c r="P35" s="3">
        <v>0</v>
      </c>
      <c r="Q35" s="3">
        <v>0</v>
      </c>
      <c r="R35" s="3">
        <v>0</v>
      </c>
      <c r="S35" s="3">
        <f t="shared" si="2"/>
        <v>20000</v>
      </c>
      <c r="T35" s="3">
        <f t="shared" si="3"/>
        <v>2000</v>
      </c>
      <c r="U35" s="3">
        <f t="shared" si="4"/>
        <v>1000</v>
      </c>
      <c r="V35" s="3">
        <f t="shared" si="5"/>
        <v>8000</v>
      </c>
      <c r="W35" s="3">
        <f t="shared" si="7"/>
        <v>11000</v>
      </c>
      <c r="X35" s="3">
        <f t="shared" ref="X35" si="14">SUM(S35:U35)</f>
        <v>23000</v>
      </c>
      <c r="Y35" s="3">
        <f t="shared" si="6"/>
        <v>31000</v>
      </c>
      <c r="Z35" s="2">
        <v>5</v>
      </c>
    </row>
    <row r="36" spans="1:27" hidden="1" x14ac:dyDescent="0.25">
      <c r="A36" s="2">
        <v>34</v>
      </c>
      <c r="B36" s="296" t="s">
        <v>183</v>
      </c>
      <c r="C36" s="2" t="s">
        <v>14</v>
      </c>
      <c r="D36" s="2" t="s">
        <v>65</v>
      </c>
      <c r="E36" s="2" t="s">
        <v>102</v>
      </c>
      <c r="F36" s="2" t="s">
        <v>102</v>
      </c>
      <c r="G36" s="2" t="s">
        <v>50</v>
      </c>
      <c r="H36" s="4"/>
      <c r="I36" s="51">
        <v>0</v>
      </c>
      <c r="J36" s="262">
        <v>0</v>
      </c>
      <c r="K36" s="264">
        <v>0</v>
      </c>
      <c r="L36" s="3">
        <v>15000</v>
      </c>
      <c r="M36" s="3">
        <f t="shared" si="0"/>
        <v>0</v>
      </c>
      <c r="N36" s="3">
        <f t="shared" si="1"/>
        <v>0</v>
      </c>
      <c r="O36" s="265">
        <f t="shared" si="9"/>
        <v>15000</v>
      </c>
      <c r="P36" s="3">
        <v>0</v>
      </c>
      <c r="Q36" s="3">
        <v>0</v>
      </c>
      <c r="R36" s="3">
        <v>0</v>
      </c>
      <c r="S36" s="3">
        <f t="shared" si="2"/>
        <v>15000</v>
      </c>
      <c r="T36" s="3">
        <f t="shared" si="3"/>
        <v>1500</v>
      </c>
      <c r="U36" s="3">
        <f t="shared" si="4"/>
        <v>750</v>
      </c>
      <c r="V36" s="3">
        <f t="shared" si="5"/>
        <v>6000</v>
      </c>
      <c r="W36" s="3">
        <f t="shared" si="7"/>
        <v>8250</v>
      </c>
      <c r="X36" s="3">
        <f t="shared" si="8"/>
        <v>17250</v>
      </c>
      <c r="Y36" s="3">
        <f t="shared" si="6"/>
        <v>23250</v>
      </c>
      <c r="Z36" s="2">
        <v>5</v>
      </c>
    </row>
    <row r="37" spans="1:27" hidden="1" x14ac:dyDescent="0.25">
      <c r="A37" s="2">
        <v>35</v>
      </c>
      <c r="B37" s="296" t="s">
        <v>184</v>
      </c>
      <c r="C37" s="2" t="s">
        <v>14</v>
      </c>
      <c r="D37" s="2" t="s">
        <v>66</v>
      </c>
      <c r="E37" s="2" t="s">
        <v>102</v>
      </c>
      <c r="F37" s="2" t="s">
        <v>102</v>
      </c>
      <c r="G37" s="2" t="s">
        <v>50</v>
      </c>
      <c r="H37" s="4"/>
      <c r="I37" s="51">
        <v>0</v>
      </c>
      <c r="J37" s="262">
        <v>0</v>
      </c>
      <c r="K37" s="264">
        <v>0</v>
      </c>
      <c r="L37" s="3">
        <v>15000</v>
      </c>
      <c r="M37" s="3">
        <f t="shared" si="0"/>
        <v>0</v>
      </c>
      <c r="N37" s="3">
        <f t="shared" si="1"/>
        <v>0</v>
      </c>
      <c r="O37" s="265">
        <v>16000</v>
      </c>
      <c r="P37" s="3">
        <v>0</v>
      </c>
      <c r="Q37" s="3">
        <v>0</v>
      </c>
      <c r="R37" s="3">
        <v>0</v>
      </c>
      <c r="S37" s="3">
        <f t="shared" si="2"/>
        <v>16000</v>
      </c>
      <c r="T37" s="3">
        <f t="shared" si="3"/>
        <v>1600</v>
      </c>
      <c r="U37" s="3">
        <f t="shared" si="4"/>
        <v>800</v>
      </c>
      <c r="V37" s="3">
        <f t="shared" si="5"/>
        <v>6400</v>
      </c>
      <c r="W37" s="3">
        <f t="shared" si="7"/>
        <v>8800</v>
      </c>
      <c r="X37" s="3">
        <f t="shared" si="8"/>
        <v>18400</v>
      </c>
      <c r="Y37" s="3">
        <f t="shared" si="6"/>
        <v>24800</v>
      </c>
      <c r="Z37" s="2">
        <v>5</v>
      </c>
    </row>
    <row r="38" spans="1:27" hidden="1" x14ac:dyDescent="0.25">
      <c r="A38" s="2">
        <v>36</v>
      </c>
      <c r="B38" s="296" t="s">
        <v>185</v>
      </c>
      <c r="C38" s="2" t="s">
        <v>14</v>
      </c>
      <c r="D38" s="2" t="s">
        <v>67</v>
      </c>
      <c r="E38" s="2" t="s">
        <v>102</v>
      </c>
      <c r="F38" s="2" t="s">
        <v>102</v>
      </c>
      <c r="G38" s="2" t="s">
        <v>50</v>
      </c>
      <c r="H38" s="4"/>
      <c r="I38" s="51">
        <v>0</v>
      </c>
      <c r="J38" s="262">
        <v>0</v>
      </c>
      <c r="K38" s="264">
        <v>0</v>
      </c>
      <c r="L38" s="3">
        <v>15000</v>
      </c>
      <c r="M38" s="3">
        <f t="shared" si="0"/>
        <v>0</v>
      </c>
      <c r="N38" s="3">
        <f t="shared" si="1"/>
        <v>0</v>
      </c>
      <c r="O38" s="265">
        <v>17000</v>
      </c>
      <c r="P38" s="3">
        <v>0</v>
      </c>
      <c r="Q38" s="3">
        <v>0</v>
      </c>
      <c r="R38" s="3">
        <v>0</v>
      </c>
      <c r="S38" s="3">
        <f t="shared" si="2"/>
        <v>17000</v>
      </c>
      <c r="T38" s="3">
        <f t="shared" si="3"/>
        <v>1700</v>
      </c>
      <c r="U38" s="3">
        <f t="shared" si="4"/>
        <v>850</v>
      </c>
      <c r="V38" s="3">
        <f t="shared" si="5"/>
        <v>6800</v>
      </c>
      <c r="W38" s="3">
        <f t="shared" si="7"/>
        <v>9350</v>
      </c>
      <c r="X38" s="3">
        <f t="shared" si="8"/>
        <v>19550</v>
      </c>
      <c r="Y38" s="3">
        <f t="shared" si="6"/>
        <v>26350</v>
      </c>
      <c r="Z38" s="2">
        <v>5</v>
      </c>
    </row>
    <row r="39" spans="1:27" hidden="1" x14ac:dyDescent="0.25">
      <c r="A39" s="2">
        <v>37</v>
      </c>
      <c r="B39" s="296" t="s">
        <v>186</v>
      </c>
      <c r="C39" s="2" t="s">
        <v>14</v>
      </c>
      <c r="D39" s="2" t="s">
        <v>68</v>
      </c>
      <c r="E39" s="2" t="s">
        <v>102</v>
      </c>
      <c r="F39" s="2" t="s">
        <v>102</v>
      </c>
      <c r="G39" s="2" t="s">
        <v>50</v>
      </c>
      <c r="H39" s="4"/>
      <c r="I39" s="51">
        <v>0</v>
      </c>
      <c r="J39" s="262">
        <v>0</v>
      </c>
      <c r="K39" s="264">
        <v>0</v>
      </c>
      <c r="L39" s="3">
        <v>19550</v>
      </c>
      <c r="M39" s="3">
        <f t="shared" si="0"/>
        <v>0</v>
      </c>
      <c r="N39" s="3">
        <f t="shared" si="1"/>
        <v>0</v>
      </c>
      <c r="O39" s="265">
        <v>18000</v>
      </c>
      <c r="P39" s="3">
        <v>0</v>
      </c>
      <c r="Q39" s="3">
        <v>0</v>
      </c>
      <c r="R39" s="3">
        <v>0</v>
      </c>
      <c r="S39" s="3">
        <f t="shared" si="2"/>
        <v>18000</v>
      </c>
      <c r="T39" s="3">
        <f t="shared" si="3"/>
        <v>1800</v>
      </c>
      <c r="U39" s="3">
        <f t="shared" si="4"/>
        <v>900</v>
      </c>
      <c r="V39" s="3">
        <f t="shared" si="5"/>
        <v>7200</v>
      </c>
      <c r="W39" s="3">
        <f t="shared" si="7"/>
        <v>9900</v>
      </c>
      <c r="X39" s="3">
        <f t="shared" si="8"/>
        <v>20700</v>
      </c>
      <c r="Y39" s="3">
        <f t="shared" si="6"/>
        <v>27900</v>
      </c>
      <c r="Z39" s="2">
        <v>5</v>
      </c>
    </row>
    <row r="40" spans="1:27" hidden="1" x14ac:dyDescent="0.25">
      <c r="A40" s="2">
        <v>38</v>
      </c>
      <c r="B40" s="296" t="s">
        <v>187</v>
      </c>
      <c r="C40" s="2" t="s">
        <v>14</v>
      </c>
      <c r="D40" s="2" t="s">
        <v>69</v>
      </c>
      <c r="E40" s="2" t="s">
        <v>102</v>
      </c>
      <c r="F40" s="2" t="s">
        <v>102</v>
      </c>
      <c r="G40" s="2" t="s">
        <v>50</v>
      </c>
      <c r="H40" s="4"/>
      <c r="I40" s="51">
        <v>0</v>
      </c>
      <c r="J40" s="262">
        <v>0</v>
      </c>
      <c r="K40" s="264">
        <v>0</v>
      </c>
      <c r="L40" s="3">
        <v>19550</v>
      </c>
      <c r="M40" s="3">
        <f t="shared" si="0"/>
        <v>0</v>
      </c>
      <c r="N40" s="3">
        <f t="shared" si="1"/>
        <v>0</v>
      </c>
      <c r="O40" s="265">
        <v>20000</v>
      </c>
      <c r="P40" s="3">
        <v>0</v>
      </c>
      <c r="Q40" s="3">
        <v>0</v>
      </c>
      <c r="R40" s="3">
        <v>0</v>
      </c>
      <c r="S40" s="3">
        <f t="shared" si="2"/>
        <v>20000</v>
      </c>
      <c r="T40" s="3">
        <f t="shared" si="3"/>
        <v>2000</v>
      </c>
      <c r="U40" s="3">
        <f t="shared" si="4"/>
        <v>1000</v>
      </c>
      <c r="V40" s="3">
        <f t="shared" si="5"/>
        <v>8000</v>
      </c>
      <c r="W40" s="3">
        <f t="shared" si="7"/>
        <v>11000</v>
      </c>
      <c r="X40" s="3">
        <f t="shared" si="8"/>
        <v>23000</v>
      </c>
      <c r="Y40" s="3">
        <f t="shared" si="6"/>
        <v>31000</v>
      </c>
      <c r="Z40" s="2">
        <v>5</v>
      </c>
    </row>
    <row r="41" spans="1:27" s="249" customFormat="1" hidden="1" x14ac:dyDescent="0.25">
      <c r="A41" s="245">
        <v>39</v>
      </c>
      <c r="B41" s="296" t="s">
        <v>188</v>
      </c>
      <c r="C41" s="245" t="s">
        <v>14</v>
      </c>
      <c r="D41" s="245" t="s">
        <v>70</v>
      </c>
      <c r="E41" s="2" t="s">
        <v>102</v>
      </c>
      <c r="F41" s="2" t="s">
        <v>102</v>
      </c>
      <c r="G41" s="245" t="s">
        <v>50</v>
      </c>
      <c r="H41" s="246"/>
      <c r="I41" s="51">
        <v>0</v>
      </c>
      <c r="J41" s="262">
        <v>0</v>
      </c>
      <c r="K41" s="264">
        <v>0</v>
      </c>
      <c r="L41" s="247">
        <v>23500</v>
      </c>
      <c r="M41" s="3">
        <f t="shared" si="0"/>
        <v>0</v>
      </c>
      <c r="N41" s="3">
        <f t="shared" si="1"/>
        <v>0</v>
      </c>
      <c r="O41" s="265">
        <f t="shared" si="9"/>
        <v>23500</v>
      </c>
      <c r="P41" s="247">
        <v>0</v>
      </c>
      <c r="Q41" s="247">
        <v>0</v>
      </c>
      <c r="R41" s="247">
        <v>0</v>
      </c>
      <c r="S41" s="3">
        <f t="shared" si="2"/>
        <v>23500</v>
      </c>
      <c r="T41" s="3">
        <f t="shared" si="3"/>
        <v>2350</v>
      </c>
      <c r="U41" s="3">
        <f t="shared" si="4"/>
        <v>1175</v>
      </c>
      <c r="V41" s="3">
        <f t="shared" si="5"/>
        <v>9400</v>
      </c>
      <c r="W41" s="247">
        <f t="shared" si="7"/>
        <v>12925</v>
      </c>
      <c r="X41" s="247">
        <f t="shared" si="8"/>
        <v>27025</v>
      </c>
      <c r="Y41" s="3">
        <f t="shared" si="6"/>
        <v>36425</v>
      </c>
      <c r="Z41" s="2">
        <v>5</v>
      </c>
      <c r="AA41" s="248"/>
    </row>
    <row r="42" spans="1:27" hidden="1" x14ac:dyDescent="0.25">
      <c r="A42" s="2">
        <v>40</v>
      </c>
      <c r="B42" s="296" t="s">
        <v>189</v>
      </c>
      <c r="C42" s="2" t="s">
        <v>14</v>
      </c>
      <c r="D42" s="2" t="s">
        <v>71</v>
      </c>
      <c r="E42" s="2" t="s">
        <v>102</v>
      </c>
      <c r="F42" s="2" t="s">
        <v>102</v>
      </c>
      <c r="G42" s="2" t="s">
        <v>50</v>
      </c>
      <c r="H42" s="4"/>
      <c r="I42" s="51">
        <v>0</v>
      </c>
      <c r="J42" s="262">
        <v>0</v>
      </c>
      <c r="K42" s="264">
        <v>0</v>
      </c>
      <c r="L42" s="3">
        <v>25000</v>
      </c>
      <c r="M42" s="3">
        <f t="shared" si="0"/>
        <v>0</v>
      </c>
      <c r="N42" s="3">
        <f t="shared" si="1"/>
        <v>0</v>
      </c>
      <c r="O42" s="265">
        <f t="shared" si="9"/>
        <v>25000</v>
      </c>
      <c r="P42" s="3">
        <v>0</v>
      </c>
      <c r="Q42" s="3">
        <v>0</v>
      </c>
      <c r="R42" s="3">
        <v>0</v>
      </c>
      <c r="S42" s="3">
        <f t="shared" si="2"/>
        <v>25000</v>
      </c>
      <c r="T42" s="3">
        <f t="shared" si="3"/>
        <v>2500</v>
      </c>
      <c r="U42" s="3">
        <f t="shared" si="4"/>
        <v>1250</v>
      </c>
      <c r="V42" s="3">
        <f t="shared" si="5"/>
        <v>10000</v>
      </c>
      <c r="W42" s="3">
        <f t="shared" si="7"/>
        <v>13750</v>
      </c>
      <c r="X42" s="3">
        <f t="shared" si="8"/>
        <v>28750</v>
      </c>
      <c r="Y42" s="3">
        <f t="shared" si="6"/>
        <v>38750</v>
      </c>
      <c r="Z42" s="2">
        <v>5</v>
      </c>
    </row>
    <row r="43" spans="1:27" hidden="1" x14ac:dyDescent="0.25">
      <c r="A43" s="2">
        <v>41</v>
      </c>
      <c r="B43" s="296" t="s">
        <v>190</v>
      </c>
      <c r="C43" s="2" t="s">
        <v>14</v>
      </c>
      <c r="D43" s="2" t="s">
        <v>72</v>
      </c>
      <c r="E43" s="2" t="s">
        <v>102</v>
      </c>
      <c r="F43" s="2" t="s">
        <v>102</v>
      </c>
      <c r="G43" s="2" t="s">
        <v>50</v>
      </c>
      <c r="H43" s="4"/>
      <c r="I43" s="51">
        <v>0</v>
      </c>
      <c r="J43" s="262">
        <v>0</v>
      </c>
      <c r="K43" s="264">
        <v>0</v>
      </c>
      <c r="L43" s="3">
        <v>27000</v>
      </c>
      <c r="M43" s="3">
        <f t="shared" si="0"/>
        <v>0</v>
      </c>
      <c r="N43" s="3">
        <f t="shared" si="1"/>
        <v>0</v>
      </c>
      <c r="O43" s="265">
        <f t="shared" si="9"/>
        <v>27000</v>
      </c>
      <c r="P43" s="3">
        <v>0</v>
      </c>
      <c r="Q43" s="3">
        <v>0</v>
      </c>
      <c r="R43" s="3">
        <v>0</v>
      </c>
      <c r="S43" s="3">
        <f t="shared" si="2"/>
        <v>27000</v>
      </c>
      <c r="T43" s="3">
        <f t="shared" si="3"/>
        <v>2700</v>
      </c>
      <c r="U43" s="3">
        <f t="shared" si="4"/>
        <v>1350</v>
      </c>
      <c r="V43" s="3">
        <f t="shared" si="5"/>
        <v>10800</v>
      </c>
      <c r="W43" s="3">
        <f t="shared" si="7"/>
        <v>14850</v>
      </c>
      <c r="X43" s="3">
        <f t="shared" si="8"/>
        <v>31050</v>
      </c>
      <c r="Y43" s="3">
        <f t="shared" si="6"/>
        <v>41850</v>
      </c>
      <c r="Z43" s="2">
        <v>5</v>
      </c>
    </row>
    <row r="44" spans="1:27" s="249" customFormat="1" hidden="1" x14ac:dyDescent="0.25">
      <c r="A44" s="245">
        <v>42</v>
      </c>
      <c r="B44" s="296" t="s">
        <v>191</v>
      </c>
      <c r="C44" s="245" t="s">
        <v>14</v>
      </c>
      <c r="D44" s="245" t="s">
        <v>73</v>
      </c>
      <c r="E44" s="2" t="s">
        <v>102</v>
      </c>
      <c r="F44" s="2" t="s">
        <v>102</v>
      </c>
      <c r="G44" s="245" t="s">
        <v>50</v>
      </c>
      <c r="H44" s="246"/>
      <c r="I44" s="51">
        <v>0</v>
      </c>
      <c r="J44" s="262">
        <v>0</v>
      </c>
      <c r="K44" s="264">
        <v>0</v>
      </c>
      <c r="L44" s="247">
        <v>30000</v>
      </c>
      <c r="M44" s="3">
        <f t="shared" si="0"/>
        <v>0</v>
      </c>
      <c r="N44" s="3">
        <f t="shared" si="1"/>
        <v>0</v>
      </c>
      <c r="O44" s="265">
        <f t="shared" si="9"/>
        <v>30000</v>
      </c>
      <c r="P44" s="247">
        <v>0</v>
      </c>
      <c r="Q44" s="247">
        <v>0</v>
      </c>
      <c r="R44" s="247">
        <v>0</v>
      </c>
      <c r="S44" s="3">
        <f t="shared" si="2"/>
        <v>30000</v>
      </c>
      <c r="T44" s="3">
        <f t="shared" si="3"/>
        <v>3000</v>
      </c>
      <c r="U44" s="3">
        <f t="shared" si="4"/>
        <v>1500</v>
      </c>
      <c r="V44" s="3">
        <f t="shared" si="5"/>
        <v>12000</v>
      </c>
      <c r="W44" s="247">
        <f t="shared" si="7"/>
        <v>16500</v>
      </c>
      <c r="X44" s="247">
        <f t="shared" si="8"/>
        <v>34500</v>
      </c>
      <c r="Y44" s="3">
        <f t="shared" si="6"/>
        <v>46500</v>
      </c>
      <c r="Z44" s="2">
        <v>5</v>
      </c>
      <c r="AA44" s="248"/>
    </row>
    <row r="45" spans="1:27" hidden="1" x14ac:dyDescent="0.25">
      <c r="A45" s="2">
        <v>43</v>
      </c>
      <c r="B45" s="296" t="s">
        <v>192</v>
      </c>
      <c r="C45" s="2" t="s">
        <v>14</v>
      </c>
      <c r="D45" s="2" t="s">
        <v>74</v>
      </c>
      <c r="E45" s="2" t="s">
        <v>102</v>
      </c>
      <c r="F45" s="2" t="s">
        <v>102</v>
      </c>
      <c r="G45" s="2" t="s">
        <v>50</v>
      </c>
      <c r="H45" s="4"/>
      <c r="I45" s="51">
        <v>0</v>
      </c>
      <c r="J45" s="262">
        <v>0</v>
      </c>
      <c r="K45" s="264">
        <v>0</v>
      </c>
      <c r="L45" s="3">
        <v>33000</v>
      </c>
      <c r="M45" s="3">
        <f t="shared" si="0"/>
        <v>0</v>
      </c>
      <c r="N45" s="3">
        <f t="shared" si="1"/>
        <v>0</v>
      </c>
      <c r="O45" s="265">
        <f t="shared" si="9"/>
        <v>33000</v>
      </c>
      <c r="P45" s="3">
        <v>0</v>
      </c>
      <c r="Q45" s="3">
        <v>0</v>
      </c>
      <c r="R45" s="3">
        <v>0</v>
      </c>
      <c r="S45" s="3">
        <f t="shared" si="2"/>
        <v>33000</v>
      </c>
      <c r="T45" s="3">
        <f t="shared" si="3"/>
        <v>3300</v>
      </c>
      <c r="U45" s="3">
        <f t="shared" si="4"/>
        <v>1650</v>
      </c>
      <c r="V45" s="3">
        <f t="shared" si="5"/>
        <v>13200</v>
      </c>
      <c r="W45" s="3">
        <f t="shared" si="7"/>
        <v>18150</v>
      </c>
      <c r="X45" s="3">
        <f t="shared" si="8"/>
        <v>37950</v>
      </c>
      <c r="Y45" s="3">
        <f t="shared" si="6"/>
        <v>51150</v>
      </c>
      <c r="Z45" s="2">
        <v>5</v>
      </c>
    </row>
    <row r="46" spans="1:27" s="249" customFormat="1" hidden="1" x14ac:dyDescent="0.25">
      <c r="A46" s="245"/>
      <c r="B46" s="296" t="s">
        <v>719</v>
      </c>
      <c r="C46" s="2" t="s">
        <v>14</v>
      </c>
      <c r="D46" s="245" t="s">
        <v>683</v>
      </c>
      <c r="E46" s="2" t="s">
        <v>102</v>
      </c>
      <c r="F46" s="2" t="s">
        <v>102</v>
      </c>
      <c r="G46" s="245" t="s">
        <v>50</v>
      </c>
      <c r="H46" s="246"/>
      <c r="I46" s="51">
        <v>0</v>
      </c>
      <c r="J46" s="262">
        <v>0</v>
      </c>
      <c r="K46" s="264">
        <v>0</v>
      </c>
      <c r="L46" s="247">
        <v>37000</v>
      </c>
      <c r="M46" s="3">
        <f t="shared" si="0"/>
        <v>0</v>
      </c>
      <c r="N46" s="3">
        <f t="shared" si="1"/>
        <v>0</v>
      </c>
      <c r="O46" s="265">
        <v>35000</v>
      </c>
      <c r="P46" s="247">
        <v>0</v>
      </c>
      <c r="Q46" s="247">
        <v>0</v>
      </c>
      <c r="R46" s="247">
        <v>0</v>
      </c>
      <c r="S46" s="3">
        <f t="shared" si="2"/>
        <v>35000</v>
      </c>
      <c r="T46" s="3">
        <f t="shared" si="3"/>
        <v>3500</v>
      </c>
      <c r="U46" s="3">
        <f t="shared" si="4"/>
        <v>1750</v>
      </c>
      <c r="V46" s="3">
        <f t="shared" si="5"/>
        <v>14000</v>
      </c>
      <c r="W46" s="247">
        <f t="shared" ref="W46" si="15">SUM(T46:V46)</f>
        <v>19250</v>
      </c>
      <c r="X46" s="247">
        <f t="shared" si="8"/>
        <v>40250</v>
      </c>
      <c r="Y46" s="3">
        <f t="shared" si="6"/>
        <v>54250</v>
      </c>
      <c r="Z46" s="2">
        <v>10</v>
      </c>
      <c r="AA46" s="248"/>
    </row>
    <row r="47" spans="1:27" hidden="1" x14ac:dyDescent="0.25">
      <c r="A47" s="2">
        <v>44</v>
      </c>
      <c r="B47" s="296" t="s">
        <v>444</v>
      </c>
      <c r="C47" s="2" t="s">
        <v>14</v>
      </c>
      <c r="D47" s="2" t="s">
        <v>298</v>
      </c>
      <c r="E47" s="2" t="s">
        <v>102</v>
      </c>
      <c r="F47" s="2" t="s">
        <v>102</v>
      </c>
      <c r="G47" s="2" t="s">
        <v>50</v>
      </c>
      <c r="H47" s="4"/>
      <c r="I47" s="51">
        <v>0</v>
      </c>
      <c r="J47" s="262">
        <v>0</v>
      </c>
      <c r="K47" s="264">
        <v>0</v>
      </c>
      <c r="L47" s="3">
        <v>43000</v>
      </c>
      <c r="M47" s="3">
        <f t="shared" si="0"/>
        <v>0</v>
      </c>
      <c r="N47" s="3">
        <f t="shared" si="1"/>
        <v>0</v>
      </c>
      <c r="O47" s="265">
        <v>40000</v>
      </c>
      <c r="P47" s="3">
        <v>0</v>
      </c>
      <c r="Q47" s="3">
        <v>0</v>
      </c>
      <c r="R47" s="3">
        <v>0</v>
      </c>
      <c r="S47" s="3">
        <f t="shared" si="2"/>
        <v>40000</v>
      </c>
      <c r="T47" s="3">
        <f t="shared" si="3"/>
        <v>4000</v>
      </c>
      <c r="U47" s="3">
        <f t="shared" si="4"/>
        <v>2000</v>
      </c>
      <c r="V47" s="3">
        <f t="shared" si="5"/>
        <v>16000</v>
      </c>
      <c r="W47" s="3">
        <f t="shared" si="7"/>
        <v>22000</v>
      </c>
      <c r="X47" s="3">
        <f t="shared" si="8"/>
        <v>46000</v>
      </c>
      <c r="Y47" s="3">
        <f t="shared" si="6"/>
        <v>62000</v>
      </c>
      <c r="Z47" s="2">
        <v>10</v>
      </c>
    </row>
    <row r="48" spans="1:27" hidden="1" x14ac:dyDescent="0.25">
      <c r="A48" s="2">
        <v>45</v>
      </c>
      <c r="B48" s="296" t="s">
        <v>290</v>
      </c>
      <c r="C48" s="2" t="s">
        <v>14</v>
      </c>
      <c r="D48" s="2" t="s">
        <v>66</v>
      </c>
      <c r="E48" s="2" t="s">
        <v>102</v>
      </c>
      <c r="F48" s="2" t="s">
        <v>102</v>
      </c>
      <c r="G48" s="2" t="s">
        <v>50</v>
      </c>
      <c r="H48" s="4"/>
      <c r="I48" s="51">
        <v>0</v>
      </c>
      <c r="J48" s="262">
        <v>0</v>
      </c>
      <c r="K48" s="264">
        <v>0</v>
      </c>
      <c r="L48" s="3">
        <v>18000</v>
      </c>
      <c r="M48" s="3">
        <f t="shared" si="0"/>
        <v>0</v>
      </c>
      <c r="N48" s="3">
        <f t="shared" si="1"/>
        <v>0</v>
      </c>
      <c r="O48" s="265">
        <f t="shared" si="9"/>
        <v>18000</v>
      </c>
      <c r="P48" s="3">
        <v>0</v>
      </c>
      <c r="Q48" s="3">
        <v>0</v>
      </c>
      <c r="R48" s="3">
        <v>0</v>
      </c>
      <c r="S48" s="3">
        <f t="shared" si="2"/>
        <v>18000</v>
      </c>
      <c r="T48" s="3">
        <f t="shared" si="3"/>
        <v>1800</v>
      </c>
      <c r="U48" s="3">
        <f t="shared" si="4"/>
        <v>900</v>
      </c>
      <c r="V48" s="3">
        <f t="shared" si="5"/>
        <v>7200</v>
      </c>
      <c r="W48" s="3">
        <f t="shared" si="7"/>
        <v>9900</v>
      </c>
      <c r="X48" s="3">
        <f t="shared" si="8"/>
        <v>20700</v>
      </c>
      <c r="Y48" s="3">
        <f t="shared" si="6"/>
        <v>27900</v>
      </c>
      <c r="Z48" s="2">
        <v>10</v>
      </c>
    </row>
    <row r="49" spans="1:27" s="249" customFormat="1" hidden="1" x14ac:dyDescent="0.25">
      <c r="A49" s="245">
        <v>46</v>
      </c>
      <c r="B49" s="296" t="s">
        <v>291</v>
      </c>
      <c r="C49" s="245" t="s">
        <v>14</v>
      </c>
      <c r="D49" s="245" t="s">
        <v>296</v>
      </c>
      <c r="E49" s="2" t="s">
        <v>102</v>
      </c>
      <c r="F49" s="2" t="s">
        <v>102</v>
      </c>
      <c r="G49" s="245" t="s">
        <v>50</v>
      </c>
      <c r="H49" s="246"/>
      <c r="I49" s="51">
        <v>0</v>
      </c>
      <c r="J49" s="262">
        <v>0</v>
      </c>
      <c r="K49" s="264">
        <v>0</v>
      </c>
      <c r="L49" s="247">
        <v>25000</v>
      </c>
      <c r="M49" s="3">
        <f t="shared" si="0"/>
        <v>0</v>
      </c>
      <c r="N49" s="3">
        <f t="shared" si="1"/>
        <v>0</v>
      </c>
      <c r="O49" s="265">
        <f t="shared" si="9"/>
        <v>25000</v>
      </c>
      <c r="P49" s="247">
        <v>0</v>
      </c>
      <c r="Q49" s="247">
        <v>0</v>
      </c>
      <c r="R49" s="247">
        <v>0</v>
      </c>
      <c r="S49" s="3">
        <f t="shared" si="2"/>
        <v>25000</v>
      </c>
      <c r="T49" s="3">
        <f t="shared" si="3"/>
        <v>2500</v>
      </c>
      <c r="U49" s="3">
        <f t="shared" si="4"/>
        <v>1250</v>
      </c>
      <c r="V49" s="3">
        <f t="shared" si="5"/>
        <v>10000</v>
      </c>
      <c r="W49" s="247">
        <f t="shared" si="7"/>
        <v>13750</v>
      </c>
      <c r="X49" s="247">
        <f t="shared" si="8"/>
        <v>28750</v>
      </c>
      <c r="Y49" s="3">
        <f t="shared" si="6"/>
        <v>38750</v>
      </c>
      <c r="Z49" s="2">
        <v>10</v>
      </c>
      <c r="AA49" s="248"/>
    </row>
    <row r="50" spans="1:27" hidden="1" x14ac:dyDescent="0.25">
      <c r="A50" s="2">
        <v>47</v>
      </c>
      <c r="B50" s="296" t="s">
        <v>292</v>
      </c>
      <c r="C50" s="2" t="s">
        <v>14</v>
      </c>
      <c r="D50" s="2" t="s">
        <v>297</v>
      </c>
      <c r="E50" s="2" t="s">
        <v>102</v>
      </c>
      <c r="F50" s="2" t="s">
        <v>102</v>
      </c>
      <c r="G50" s="2" t="s">
        <v>50</v>
      </c>
      <c r="H50" s="4"/>
      <c r="I50" s="51">
        <v>0</v>
      </c>
      <c r="J50" s="262">
        <v>0</v>
      </c>
      <c r="K50" s="264">
        <v>0</v>
      </c>
      <c r="L50" s="3">
        <v>27350</v>
      </c>
      <c r="M50" s="3">
        <f t="shared" si="0"/>
        <v>0</v>
      </c>
      <c r="N50" s="3">
        <f t="shared" si="1"/>
        <v>0</v>
      </c>
      <c r="O50" s="265">
        <f t="shared" si="9"/>
        <v>27350</v>
      </c>
      <c r="P50" s="3">
        <v>0</v>
      </c>
      <c r="Q50" s="3">
        <v>0</v>
      </c>
      <c r="R50" s="3">
        <v>0</v>
      </c>
      <c r="S50" s="3">
        <f t="shared" si="2"/>
        <v>27350</v>
      </c>
      <c r="T50" s="3">
        <f t="shared" si="3"/>
        <v>2735</v>
      </c>
      <c r="U50" s="3">
        <f t="shared" si="4"/>
        <v>1367.5</v>
      </c>
      <c r="V50" s="3">
        <f t="shared" si="5"/>
        <v>10940</v>
      </c>
      <c r="W50" s="3">
        <f t="shared" si="7"/>
        <v>15042.5</v>
      </c>
      <c r="X50" s="3">
        <f t="shared" si="8"/>
        <v>31452.5</v>
      </c>
      <c r="Y50" s="3">
        <f t="shared" si="6"/>
        <v>42392.5</v>
      </c>
      <c r="Z50" s="2">
        <v>10</v>
      </c>
    </row>
    <row r="51" spans="1:27" hidden="1" x14ac:dyDescent="0.25">
      <c r="A51" s="2">
        <v>48</v>
      </c>
      <c r="B51" s="296" t="s">
        <v>293</v>
      </c>
      <c r="C51" s="2" t="s">
        <v>14</v>
      </c>
      <c r="D51" s="2" t="s">
        <v>298</v>
      </c>
      <c r="E51" s="2" t="s">
        <v>102</v>
      </c>
      <c r="F51" s="2" t="s">
        <v>102</v>
      </c>
      <c r="G51" s="2" t="s">
        <v>50</v>
      </c>
      <c r="H51" s="4"/>
      <c r="I51" s="51">
        <v>0</v>
      </c>
      <c r="J51" s="262">
        <v>0</v>
      </c>
      <c r="K51" s="264">
        <v>0</v>
      </c>
      <c r="L51" s="3">
        <v>39150</v>
      </c>
      <c r="M51" s="3">
        <f t="shared" si="0"/>
        <v>0</v>
      </c>
      <c r="N51" s="3">
        <f t="shared" si="1"/>
        <v>0</v>
      </c>
      <c r="O51" s="265">
        <f t="shared" si="9"/>
        <v>39150</v>
      </c>
      <c r="P51" s="3">
        <v>0</v>
      </c>
      <c r="Q51" s="3">
        <v>0</v>
      </c>
      <c r="R51" s="3">
        <v>0</v>
      </c>
      <c r="S51" s="3">
        <f t="shared" si="2"/>
        <v>39150</v>
      </c>
      <c r="T51" s="3">
        <f t="shared" si="3"/>
        <v>3915</v>
      </c>
      <c r="U51" s="3">
        <f t="shared" si="4"/>
        <v>1957.5</v>
      </c>
      <c r="V51" s="3">
        <f t="shared" si="5"/>
        <v>15660</v>
      </c>
      <c r="W51" s="3">
        <f t="shared" si="7"/>
        <v>21532.5</v>
      </c>
      <c r="X51" s="3">
        <f t="shared" si="8"/>
        <v>45022.5</v>
      </c>
      <c r="Y51" s="3">
        <f t="shared" si="6"/>
        <v>60682.5</v>
      </c>
      <c r="Z51" s="2">
        <v>15</v>
      </c>
    </row>
    <row r="52" spans="1:27" hidden="1" x14ac:dyDescent="0.25">
      <c r="A52" s="2">
        <v>49</v>
      </c>
      <c r="B52" s="296" t="s">
        <v>438</v>
      </c>
      <c r="C52" s="2" t="s">
        <v>14</v>
      </c>
      <c r="D52" s="2" t="s">
        <v>439</v>
      </c>
      <c r="E52" s="2" t="s">
        <v>102</v>
      </c>
      <c r="F52" s="2" t="s">
        <v>102</v>
      </c>
      <c r="G52" s="2" t="s">
        <v>50</v>
      </c>
      <c r="H52" s="4"/>
      <c r="I52" s="51">
        <v>0</v>
      </c>
      <c r="J52" s="262">
        <v>0</v>
      </c>
      <c r="K52" s="264">
        <v>0</v>
      </c>
      <c r="L52" s="3">
        <v>40000</v>
      </c>
      <c r="M52" s="3">
        <f t="shared" si="0"/>
        <v>0</v>
      </c>
      <c r="N52" s="3">
        <f t="shared" si="1"/>
        <v>0</v>
      </c>
      <c r="O52" s="265">
        <f t="shared" si="9"/>
        <v>40000</v>
      </c>
      <c r="P52" s="3">
        <v>0</v>
      </c>
      <c r="Q52" s="3">
        <v>0</v>
      </c>
      <c r="R52" s="3">
        <v>0</v>
      </c>
      <c r="S52" s="3">
        <f t="shared" si="2"/>
        <v>40000</v>
      </c>
      <c r="T52" s="3">
        <f t="shared" si="3"/>
        <v>4000</v>
      </c>
      <c r="U52" s="3">
        <f t="shared" si="4"/>
        <v>2000</v>
      </c>
      <c r="V52" s="3">
        <f t="shared" si="5"/>
        <v>16000</v>
      </c>
      <c r="W52" s="3">
        <f t="shared" si="7"/>
        <v>22000</v>
      </c>
      <c r="X52" s="3">
        <f t="shared" si="8"/>
        <v>46000</v>
      </c>
      <c r="Y52" s="3">
        <f t="shared" si="6"/>
        <v>62000</v>
      </c>
      <c r="Z52" s="2">
        <v>15</v>
      </c>
    </row>
    <row r="53" spans="1:27" hidden="1" x14ac:dyDescent="0.25">
      <c r="A53" s="2">
        <v>50</v>
      </c>
      <c r="B53" s="296" t="s">
        <v>294</v>
      </c>
      <c r="C53" s="2" t="s">
        <v>14</v>
      </c>
      <c r="D53" s="2" t="s">
        <v>299</v>
      </c>
      <c r="E53" s="2" t="s">
        <v>102</v>
      </c>
      <c r="F53" s="2" t="s">
        <v>102</v>
      </c>
      <c r="G53" s="2" t="s">
        <v>50</v>
      </c>
      <c r="H53" s="4"/>
      <c r="I53" s="51">
        <v>0</v>
      </c>
      <c r="J53" s="262">
        <v>0</v>
      </c>
      <c r="K53" s="264">
        <v>0</v>
      </c>
      <c r="L53" s="3">
        <v>45000</v>
      </c>
      <c r="M53" s="3">
        <f t="shared" si="0"/>
        <v>0</v>
      </c>
      <c r="N53" s="3">
        <f t="shared" si="1"/>
        <v>0</v>
      </c>
      <c r="O53" s="265">
        <f t="shared" si="9"/>
        <v>45000</v>
      </c>
      <c r="P53" s="3">
        <v>0</v>
      </c>
      <c r="Q53" s="3">
        <v>0</v>
      </c>
      <c r="R53" s="3">
        <v>0</v>
      </c>
      <c r="S53" s="3">
        <f t="shared" si="2"/>
        <v>45000</v>
      </c>
      <c r="T53" s="3">
        <f t="shared" si="3"/>
        <v>4500</v>
      </c>
      <c r="U53" s="3">
        <f t="shared" si="4"/>
        <v>2250</v>
      </c>
      <c r="V53" s="3">
        <f t="shared" si="5"/>
        <v>18000</v>
      </c>
      <c r="W53" s="3">
        <f t="shared" si="7"/>
        <v>24750</v>
      </c>
      <c r="X53" s="3">
        <f t="shared" si="8"/>
        <v>51750</v>
      </c>
      <c r="Y53" s="3">
        <f t="shared" si="6"/>
        <v>69750</v>
      </c>
      <c r="Z53" s="2">
        <v>15</v>
      </c>
    </row>
    <row r="54" spans="1:27" hidden="1" x14ac:dyDescent="0.25">
      <c r="A54" s="2"/>
      <c r="B54" s="296" t="s">
        <v>193</v>
      </c>
      <c r="C54" s="2" t="s">
        <v>14</v>
      </c>
      <c r="D54" s="2" t="s">
        <v>75</v>
      </c>
      <c r="E54" s="2" t="s">
        <v>102</v>
      </c>
      <c r="F54" s="2" t="s">
        <v>102</v>
      </c>
      <c r="G54" s="2" t="s">
        <v>50</v>
      </c>
      <c r="H54" s="4"/>
      <c r="I54" s="51">
        <v>0</v>
      </c>
      <c r="J54" s="262">
        <v>0</v>
      </c>
      <c r="K54" s="264">
        <v>0</v>
      </c>
      <c r="L54" s="3">
        <v>50000</v>
      </c>
      <c r="M54" s="3">
        <f>0.15*(I54*3.77+J54*4.3+K54*1.1)</f>
        <v>0</v>
      </c>
      <c r="N54" s="3">
        <f>0.2*(I54*3.77+J54*4.3+K54*1.1)</f>
        <v>0</v>
      </c>
      <c r="O54" s="265">
        <f>N54+M54+L54+1.1*K54+J54*4.3+I54*3.77</f>
        <v>50000</v>
      </c>
      <c r="P54" s="3">
        <v>0</v>
      </c>
      <c r="Q54" s="3">
        <v>0</v>
      </c>
      <c r="R54" s="3">
        <v>0</v>
      </c>
      <c r="S54" s="3">
        <f>SUM(O54:R54)</f>
        <v>50000</v>
      </c>
      <c r="T54" s="3">
        <f>0.1*S54</f>
        <v>5000</v>
      </c>
      <c r="U54" s="3">
        <f>0.05*S54</f>
        <v>2500</v>
      </c>
      <c r="V54" s="3">
        <f>0.4*S54</f>
        <v>20000</v>
      </c>
      <c r="W54" s="3">
        <f>SUM(T54:V54)</f>
        <v>27500</v>
      </c>
      <c r="X54" s="3">
        <f>SUM(S54:U54)</f>
        <v>57500</v>
      </c>
      <c r="Y54" s="3">
        <f>(W54+S54)*(1-$AB$1)</f>
        <v>77500</v>
      </c>
      <c r="Z54" s="2">
        <v>15</v>
      </c>
    </row>
    <row r="55" spans="1:27" hidden="1" x14ac:dyDescent="0.25">
      <c r="A55" s="2">
        <v>51</v>
      </c>
      <c r="B55" s="296" t="s">
        <v>295</v>
      </c>
      <c r="C55" s="2" t="s">
        <v>14</v>
      </c>
      <c r="D55" s="2" t="s">
        <v>300</v>
      </c>
      <c r="E55" s="2" t="s">
        <v>102</v>
      </c>
      <c r="F55" s="2" t="s">
        <v>102</v>
      </c>
      <c r="G55" s="2" t="s">
        <v>50</v>
      </c>
      <c r="H55" s="4"/>
      <c r="I55" s="51">
        <v>0</v>
      </c>
      <c r="J55" s="262">
        <v>0</v>
      </c>
      <c r="K55" s="264">
        <v>0</v>
      </c>
      <c r="L55" s="3">
        <v>55600</v>
      </c>
      <c r="M55" s="3">
        <f t="shared" si="0"/>
        <v>0</v>
      </c>
      <c r="N55" s="3">
        <f t="shared" si="1"/>
        <v>0</v>
      </c>
      <c r="O55" s="265">
        <f t="shared" si="9"/>
        <v>55600</v>
      </c>
      <c r="P55" s="3">
        <v>0</v>
      </c>
      <c r="Q55" s="3">
        <v>0</v>
      </c>
      <c r="R55" s="3">
        <v>0</v>
      </c>
      <c r="S55" s="3">
        <f t="shared" si="2"/>
        <v>55600</v>
      </c>
      <c r="T55" s="3">
        <f t="shared" si="3"/>
        <v>5560</v>
      </c>
      <c r="U55" s="3">
        <f t="shared" si="4"/>
        <v>2780</v>
      </c>
      <c r="V55" s="3">
        <f t="shared" si="5"/>
        <v>22240</v>
      </c>
      <c r="W55" s="3">
        <f t="shared" si="7"/>
        <v>30580</v>
      </c>
      <c r="X55" s="3">
        <f t="shared" si="8"/>
        <v>63940</v>
      </c>
      <c r="Y55" s="3">
        <f t="shared" si="6"/>
        <v>86180</v>
      </c>
      <c r="Z55" s="2">
        <v>15</v>
      </c>
    </row>
    <row r="56" spans="1:27" hidden="1" x14ac:dyDescent="0.25">
      <c r="A56" s="2">
        <v>53</v>
      </c>
      <c r="B56" s="296" t="s">
        <v>194</v>
      </c>
      <c r="C56" s="2" t="s">
        <v>14</v>
      </c>
      <c r="D56" s="2" t="s">
        <v>76</v>
      </c>
      <c r="E56" s="2" t="s">
        <v>102</v>
      </c>
      <c r="F56" s="2" t="s">
        <v>102</v>
      </c>
      <c r="G56" s="2" t="s">
        <v>50</v>
      </c>
      <c r="H56" s="4"/>
      <c r="I56" s="51">
        <v>0</v>
      </c>
      <c r="J56" s="262">
        <v>0</v>
      </c>
      <c r="K56" s="264">
        <v>0</v>
      </c>
      <c r="L56" s="3">
        <v>60000</v>
      </c>
      <c r="M56" s="3">
        <f t="shared" si="0"/>
        <v>0</v>
      </c>
      <c r="N56" s="3">
        <f t="shared" si="1"/>
        <v>0</v>
      </c>
      <c r="O56" s="265">
        <f t="shared" si="9"/>
        <v>60000</v>
      </c>
      <c r="P56" s="3">
        <v>0</v>
      </c>
      <c r="Q56" s="3">
        <v>0</v>
      </c>
      <c r="R56" s="3">
        <v>0</v>
      </c>
      <c r="S56" s="3">
        <f t="shared" si="2"/>
        <v>60000</v>
      </c>
      <c r="T56" s="3">
        <f t="shared" si="3"/>
        <v>6000</v>
      </c>
      <c r="U56" s="3">
        <f t="shared" si="4"/>
        <v>3000</v>
      </c>
      <c r="V56" s="3">
        <f t="shared" si="5"/>
        <v>24000</v>
      </c>
      <c r="W56" s="3">
        <f t="shared" si="7"/>
        <v>33000</v>
      </c>
      <c r="X56" s="3">
        <f t="shared" si="8"/>
        <v>69000</v>
      </c>
      <c r="Y56" s="3">
        <f t="shared" si="6"/>
        <v>93000</v>
      </c>
      <c r="Z56" s="2">
        <v>20</v>
      </c>
    </row>
    <row r="57" spans="1:27" hidden="1" x14ac:dyDescent="0.25">
      <c r="A57" s="2">
        <v>54</v>
      </c>
      <c r="B57" s="296" t="s">
        <v>195</v>
      </c>
      <c r="C57" s="2" t="s">
        <v>14</v>
      </c>
      <c r="D57" s="2" t="s">
        <v>77</v>
      </c>
      <c r="E57" s="2" t="s">
        <v>102</v>
      </c>
      <c r="F57" s="2" t="s">
        <v>102</v>
      </c>
      <c r="G57" s="2" t="s">
        <v>50</v>
      </c>
      <c r="H57" s="4"/>
      <c r="I57" s="51">
        <v>0</v>
      </c>
      <c r="J57" s="262">
        <v>0</v>
      </c>
      <c r="K57" s="264">
        <v>0</v>
      </c>
      <c r="L57" s="3">
        <v>65000</v>
      </c>
      <c r="M57" s="3">
        <f t="shared" si="0"/>
        <v>0</v>
      </c>
      <c r="N57" s="3">
        <f t="shared" si="1"/>
        <v>0</v>
      </c>
      <c r="O57" s="265">
        <f t="shared" si="9"/>
        <v>65000</v>
      </c>
      <c r="P57" s="3">
        <v>0</v>
      </c>
      <c r="Q57" s="3">
        <v>0</v>
      </c>
      <c r="R57" s="3">
        <v>0</v>
      </c>
      <c r="S57" s="3">
        <f t="shared" si="2"/>
        <v>65000</v>
      </c>
      <c r="T57" s="3">
        <f t="shared" si="3"/>
        <v>6500</v>
      </c>
      <c r="U57" s="3">
        <f t="shared" si="4"/>
        <v>3250</v>
      </c>
      <c r="V57" s="3">
        <f t="shared" si="5"/>
        <v>26000</v>
      </c>
      <c r="W57" s="3">
        <f t="shared" si="7"/>
        <v>35750</v>
      </c>
      <c r="X57" s="3">
        <f t="shared" si="8"/>
        <v>74750</v>
      </c>
      <c r="Y57" s="3">
        <f t="shared" si="6"/>
        <v>100750</v>
      </c>
      <c r="Z57" s="2">
        <v>20</v>
      </c>
    </row>
    <row r="58" spans="1:27" hidden="1" x14ac:dyDescent="0.25">
      <c r="A58" s="2">
        <v>55</v>
      </c>
      <c r="B58" s="296" t="s">
        <v>196</v>
      </c>
      <c r="C58" s="2" t="s">
        <v>14</v>
      </c>
      <c r="D58" s="2" t="s">
        <v>78</v>
      </c>
      <c r="E58" s="2" t="s">
        <v>102</v>
      </c>
      <c r="F58" s="2" t="s">
        <v>102</v>
      </c>
      <c r="G58" s="2" t="s">
        <v>50</v>
      </c>
      <c r="H58" s="4"/>
      <c r="I58" s="51">
        <v>0</v>
      </c>
      <c r="J58" s="262">
        <v>0</v>
      </c>
      <c r="K58" s="264">
        <v>0</v>
      </c>
      <c r="L58" s="3">
        <v>70000</v>
      </c>
      <c r="M58" s="3">
        <f t="shared" si="0"/>
        <v>0</v>
      </c>
      <c r="N58" s="3">
        <f t="shared" si="1"/>
        <v>0</v>
      </c>
      <c r="O58" s="265">
        <f t="shared" si="9"/>
        <v>70000</v>
      </c>
      <c r="P58" s="3">
        <v>0</v>
      </c>
      <c r="Q58" s="3">
        <v>0</v>
      </c>
      <c r="R58" s="3">
        <v>0</v>
      </c>
      <c r="S58" s="3">
        <f t="shared" si="2"/>
        <v>70000</v>
      </c>
      <c r="T58" s="3">
        <f t="shared" si="3"/>
        <v>7000</v>
      </c>
      <c r="U58" s="3">
        <f t="shared" si="4"/>
        <v>3500</v>
      </c>
      <c r="V58" s="3">
        <f t="shared" si="5"/>
        <v>28000</v>
      </c>
      <c r="W58" s="3">
        <f t="shared" si="7"/>
        <v>38500</v>
      </c>
      <c r="X58" s="3">
        <f t="shared" si="8"/>
        <v>80500</v>
      </c>
      <c r="Y58" s="3">
        <f t="shared" si="6"/>
        <v>108500</v>
      </c>
      <c r="Z58" s="2">
        <v>20</v>
      </c>
    </row>
    <row r="59" spans="1:27" hidden="1" x14ac:dyDescent="0.25">
      <c r="A59" s="2">
        <v>56</v>
      </c>
      <c r="B59" s="296" t="s">
        <v>197</v>
      </c>
      <c r="C59" s="2" t="s">
        <v>14</v>
      </c>
      <c r="D59" s="2" t="s">
        <v>79</v>
      </c>
      <c r="E59" s="2" t="s">
        <v>102</v>
      </c>
      <c r="F59" s="2" t="s">
        <v>102</v>
      </c>
      <c r="G59" s="2" t="s">
        <v>50</v>
      </c>
      <c r="H59" s="4"/>
      <c r="I59" s="51">
        <v>0</v>
      </c>
      <c r="J59" s="262">
        <v>0</v>
      </c>
      <c r="K59" s="264">
        <v>0</v>
      </c>
      <c r="L59" s="3">
        <v>70000</v>
      </c>
      <c r="M59" s="3">
        <f t="shared" si="0"/>
        <v>0</v>
      </c>
      <c r="N59" s="3">
        <f t="shared" si="1"/>
        <v>0</v>
      </c>
      <c r="O59" s="265">
        <v>75000</v>
      </c>
      <c r="P59" s="3">
        <v>0</v>
      </c>
      <c r="Q59" s="3">
        <v>0</v>
      </c>
      <c r="R59" s="3">
        <v>0</v>
      </c>
      <c r="S59" s="3">
        <f t="shared" si="2"/>
        <v>75000</v>
      </c>
      <c r="T59" s="3">
        <f t="shared" si="3"/>
        <v>7500</v>
      </c>
      <c r="U59" s="3">
        <f t="shared" si="4"/>
        <v>3750</v>
      </c>
      <c r="V59" s="3">
        <f t="shared" si="5"/>
        <v>30000</v>
      </c>
      <c r="W59" s="3">
        <f t="shared" si="7"/>
        <v>41250</v>
      </c>
      <c r="X59" s="3">
        <f t="shared" si="8"/>
        <v>86250</v>
      </c>
      <c r="Y59" s="3">
        <f t="shared" si="6"/>
        <v>116250</v>
      </c>
      <c r="Z59" s="2">
        <v>20</v>
      </c>
    </row>
    <row r="60" spans="1:27" hidden="1" x14ac:dyDescent="0.25">
      <c r="A60" s="2">
        <v>57</v>
      </c>
      <c r="B60" s="296" t="s">
        <v>198</v>
      </c>
      <c r="C60" s="2" t="s">
        <v>14</v>
      </c>
      <c r="D60" s="2" t="s">
        <v>80</v>
      </c>
      <c r="E60" s="2" t="s">
        <v>102</v>
      </c>
      <c r="F60" s="2" t="s">
        <v>102</v>
      </c>
      <c r="G60" s="2" t="s">
        <v>50</v>
      </c>
      <c r="H60" s="4"/>
      <c r="I60" s="51">
        <v>0</v>
      </c>
      <c r="J60" s="262">
        <v>0</v>
      </c>
      <c r="K60" s="264">
        <v>0</v>
      </c>
      <c r="L60" s="3">
        <v>85000</v>
      </c>
      <c r="M60" s="3">
        <f t="shared" si="0"/>
        <v>0</v>
      </c>
      <c r="N60" s="3">
        <f t="shared" si="1"/>
        <v>0</v>
      </c>
      <c r="O60" s="265">
        <f t="shared" si="9"/>
        <v>85000</v>
      </c>
      <c r="P60" s="3">
        <v>0</v>
      </c>
      <c r="Q60" s="3">
        <v>0</v>
      </c>
      <c r="R60" s="3">
        <v>0</v>
      </c>
      <c r="S60" s="3">
        <f t="shared" si="2"/>
        <v>85000</v>
      </c>
      <c r="T60" s="3">
        <f t="shared" si="3"/>
        <v>8500</v>
      </c>
      <c r="U60" s="3">
        <f t="shared" si="4"/>
        <v>4250</v>
      </c>
      <c r="V60" s="3">
        <f t="shared" si="5"/>
        <v>34000</v>
      </c>
      <c r="W60" s="3">
        <f t="shared" si="7"/>
        <v>46750</v>
      </c>
      <c r="X60" s="3">
        <f t="shared" si="8"/>
        <v>97750</v>
      </c>
      <c r="Y60" s="3">
        <f t="shared" si="6"/>
        <v>131750</v>
      </c>
      <c r="Z60" s="2">
        <v>20</v>
      </c>
    </row>
    <row r="61" spans="1:27" hidden="1" x14ac:dyDescent="0.25">
      <c r="A61" s="2">
        <v>58</v>
      </c>
      <c r="B61" s="296" t="s">
        <v>199</v>
      </c>
      <c r="C61" s="2" t="s">
        <v>14</v>
      </c>
      <c r="D61" s="2" t="s">
        <v>81</v>
      </c>
      <c r="E61" s="2" t="s">
        <v>102</v>
      </c>
      <c r="F61" s="2" t="s">
        <v>102</v>
      </c>
      <c r="G61" s="2" t="s">
        <v>50</v>
      </c>
      <c r="H61" s="4"/>
      <c r="I61" s="51">
        <v>0</v>
      </c>
      <c r="J61" s="262">
        <v>0</v>
      </c>
      <c r="K61" s="264">
        <v>0</v>
      </c>
      <c r="L61" s="3">
        <v>95000</v>
      </c>
      <c r="M61" s="3">
        <f t="shared" si="0"/>
        <v>0</v>
      </c>
      <c r="N61" s="3">
        <f t="shared" si="1"/>
        <v>0</v>
      </c>
      <c r="O61" s="265">
        <f t="shared" si="9"/>
        <v>95000</v>
      </c>
      <c r="P61" s="3">
        <v>0</v>
      </c>
      <c r="Q61" s="3">
        <v>0</v>
      </c>
      <c r="R61" s="3">
        <v>0</v>
      </c>
      <c r="S61" s="3">
        <f t="shared" si="2"/>
        <v>95000</v>
      </c>
      <c r="T61" s="3">
        <f t="shared" si="3"/>
        <v>9500</v>
      </c>
      <c r="U61" s="3">
        <f t="shared" si="4"/>
        <v>4750</v>
      </c>
      <c r="V61" s="3">
        <f t="shared" si="5"/>
        <v>38000</v>
      </c>
      <c r="W61" s="3">
        <f t="shared" si="7"/>
        <v>52250</v>
      </c>
      <c r="X61" s="3">
        <f t="shared" si="8"/>
        <v>109250</v>
      </c>
      <c r="Y61" s="3">
        <f t="shared" si="6"/>
        <v>147250</v>
      </c>
      <c r="Z61" s="2">
        <v>30</v>
      </c>
    </row>
    <row r="62" spans="1:27" hidden="1" x14ac:dyDescent="0.25">
      <c r="A62" s="2">
        <v>59</v>
      </c>
      <c r="B62" s="296" t="s">
        <v>200</v>
      </c>
      <c r="C62" s="2" t="s">
        <v>14</v>
      </c>
      <c r="D62" s="2" t="s">
        <v>82</v>
      </c>
      <c r="E62" s="2" t="s">
        <v>102</v>
      </c>
      <c r="F62" s="2" t="s">
        <v>102</v>
      </c>
      <c r="G62" s="2" t="s">
        <v>50</v>
      </c>
      <c r="H62" s="4"/>
      <c r="I62" s="51">
        <v>0</v>
      </c>
      <c r="J62" s="262">
        <v>0</v>
      </c>
      <c r="K62" s="264">
        <v>0</v>
      </c>
      <c r="L62" s="3">
        <v>100000</v>
      </c>
      <c r="M62" s="3">
        <f t="shared" si="0"/>
        <v>0</v>
      </c>
      <c r="N62" s="3">
        <f t="shared" si="1"/>
        <v>0</v>
      </c>
      <c r="O62" s="265">
        <f t="shared" si="9"/>
        <v>100000</v>
      </c>
      <c r="P62" s="3">
        <v>0</v>
      </c>
      <c r="Q62" s="3">
        <v>0</v>
      </c>
      <c r="R62" s="3">
        <v>0</v>
      </c>
      <c r="S62" s="3">
        <f t="shared" si="2"/>
        <v>100000</v>
      </c>
      <c r="T62" s="3">
        <f t="shared" si="3"/>
        <v>10000</v>
      </c>
      <c r="U62" s="3">
        <f t="shared" si="4"/>
        <v>5000</v>
      </c>
      <c r="V62" s="3">
        <f t="shared" si="5"/>
        <v>40000</v>
      </c>
      <c r="W62" s="3">
        <f t="shared" si="7"/>
        <v>55000</v>
      </c>
      <c r="X62" s="3">
        <f t="shared" si="8"/>
        <v>115000</v>
      </c>
      <c r="Y62" s="3">
        <f t="shared" si="6"/>
        <v>155000</v>
      </c>
      <c r="Z62" s="2">
        <v>30</v>
      </c>
    </row>
    <row r="63" spans="1:27" hidden="1" x14ac:dyDescent="0.25">
      <c r="A63" s="2">
        <v>60</v>
      </c>
      <c r="B63" s="296" t="s">
        <v>201</v>
      </c>
      <c r="C63" s="2" t="s">
        <v>14</v>
      </c>
      <c r="D63" s="2" t="s">
        <v>83</v>
      </c>
      <c r="E63" s="2" t="s">
        <v>102</v>
      </c>
      <c r="F63" s="2" t="s">
        <v>102</v>
      </c>
      <c r="G63" s="2" t="s">
        <v>50</v>
      </c>
      <c r="H63" s="4"/>
      <c r="I63" s="51">
        <v>0</v>
      </c>
      <c r="J63" s="262">
        <v>0</v>
      </c>
      <c r="K63" s="264">
        <v>0</v>
      </c>
      <c r="L63" s="3">
        <v>110000</v>
      </c>
      <c r="M63" s="3">
        <f t="shared" si="0"/>
        <v>0</v>
      </c>
      <c r="N63" s="3">
        <f t="shared" si="1"/>
        <v>0</v>
      </c>
      <c r="O63" s="265">
        <f t="shared" si="9"/>
        <v>110000</v>
      </c>
      <c r="P63" s="3">
        <v>0</v>
      </c>
      <c r="Q63" s="3">
        <v>0</v>
      </c>
      <c r="R63" s="3">
        <v>0</v>
      </c>
      <c r="S63" s="3">
        <f t="shared" si="2"/>
        <v>110000</v>
      </c>
      <c r="T63" s="3">
        <f t="shared" si="3"/>
        <v>11000</v>
      </c>
      <c r="U63" s="3">
        <f t="shared" si="4"/>
        <v>5500</v>
      </c>
      <c r="V63" s="3">
        <f t="shared" si="5"/>
        <v>44000</v>
      </c>
      <c r="W63" s="3">
        <f t="shared" si="7"/>
        <v>60500</v>
      </c>
      <c r="X63" s="3">
        <f t="shared" si="8"/>
        <v>126500</v>
      </c>
      <c r="Y63" s="3">
        <f t="shared" si="6"/>
        <v>170500</v>
      </c>
      <c r="Z63" s="2">
        <v>30</v>
      </c>
    </row>
    <row r="64" spans="1:27" hidden="1" x14ac:dyDescent="0.25">
      <c r="A64" s="2">
        <v>61</v>
      </c>
      <c r="B64" s="296" t="s">
        <v>202</v>
      </c>
      <c r="C64" s="2" t="s">
        <v>14</v>
      </c>
      <c r="D64" s="2" t="s">
        <v>84</v>
      </c>
      <c r="E64" s="2" t="s">
        <v>102</v>
      </c>
      <c r="F64" s="2" t="s">
        <v>102</v>
      </c>
      <c r="G64" s="2" t="s">
        <v>50</v>
      </c>
      <c r="H64" s="4"/>
      <c r="I64" s="51">
        <v>0</v>
      </c>
      <c r="J64" s="262">
        <v>0</v>
      </c>
      <c r="K64" s="264">
        <v>0</v>
      </c>
      <c r="L64" s="3">
        <v>120000</v>
      </c>
      <c r="M64" s="3">
        <f t="shared" si="0"/>
        <v>0</v>
      </c>
      <c r="N64" s="3">
        <f t="shared" si="1"/>
        <v>0</v>
      </c>
      <c r="O64" s="265">
        <f t="shared" si="9"/>
        <v>120000</v>
      </c>
      <c r="P64" s="3">
        <v>0</v>
      </c>
      <c r="Q64" s="3">
        <v>0</v>
      </c>
      <c r="R64" s="3">
        <v>0</v>
      </c>
      <c r="S64" s="3">
        <f t="shared" si="2"/>
        <v>120000</v>
      </c>
      <c r="T64" s="3">
        <f t="shared" si="3"/>
        <v>12000</v>
      </c>
      <c r="U64" s="3">
        <f t="shared" si="4"/>
        <v>6000</v>
      </c>
      <c r="V64" s="3">
        <f t="shared" si="5"/>
        <v>48000</v>
      </c>
      <c r="W64" s="3">
        <f t="shared" si="7"/>
        <v>66000</v>
      </c>
      <c r="X64" s="3">
        <f t="shared" si="8"/>
        <v>138000</v>
      </c>
      <c r="Y64" s="3">
        <f t="shared" si="6"/>
        <v>186000</v>
      </c>
      <c r="Z64" s="2">
        <v>30</v>
      </c>
    </row>
    <row r="65" spans="1:27" s="249" customFormat="1" hidden="1" x14ac:dyDescent="0.25">
      <c r="A65" s="245">
        <v>62</v>
      </c>
      <c r="B65" s="296" t="s">
        <v>203</v>
      </c>
      <c r="C65" s="245" t="s">
        <v>14</v>
      </c>
      <c r="D65" s="245" t="s">
        <v>85</v>
      </c>
      <c r="E65" s="2" t="s">
        <v>102</v>
      </c>
      <c r="F65" s="2" t="s">
        <v>102</v>
      </c>
      <c r="G65" s="245" t="s">
        <v>50</v>
      </c>
      <c r="H65" s="246"/>
      <c r="I65" s="51">
        <v>0</v>
      </c>
      <c r="J65" s="262">
        <v>0</v>
      </c>
      <c r="K65" s="264">
        <v>0</v>
      </c>
      <c r="L65" s="247">
        <v>125000</v>
      </c>
      <c r="M65" s="3">
        <f t="shared" si="0"/>
        <v>0</v>
      </c>
      <c r="N65" s="3">
        <f t="shared" si="1"/>
        <v>0</v>
      </c>
      <c r="O65" s="265">
        <f t="shared" si="9"/>
        <v>125000</v>
      </c>
      <c r="P65" s="247">
        <v>0</v>
      </c>
      <c r="Q65" s="247">
        <v>0</v>
      </c>
      <c r="R65" s="247">
        <v>0</v>
      </c>
      <c r="S65" s="3">
        <f t="shared" si="2"/>
        <v>125000</v>
      </c>
      <c r="T65" s="3">
        <f t="shared" si="3"/>
        <v>12500</v>
      </c>
      <c r="U65" s="3">
        <f t="shared" si="4"/>
        <v>6250</v>
      </c>
      <c r="V65" s="3">
        <f t="shared" si="5"/>
        <v>50000</v>
      </c>
      <c r="W65" s="247">
        <f t="shared" si="7"/>
        <v>68750</v>
      </c>
      <c r="X65" s="247">
        <f t="shared" si="8"/>
        <v>143750</v>
      </c>
      <c r="Y65" s="3">
        <f t="shared" si="6"/>
        <v>193750</v>
      </c>
      <c r="Z65" s="245">
        <v>30</v>
      </c>
      <c r="AA65" s="248"/>
    </row>
    <row r="66" spans="1:27" hidden="1" x14ac:dyDescent="0.25">
      <c r="A66" s="2">
        <v>63</v>
      </c>
      <c r="B66" s="296" t="s">
        <v>204</v>
      </c>
      <c r="C66" s="2" t="s">
        <v>14</v>
      </c>
      <c r="D66" s="2" t="s">
        <v>86</v>
      </c>
      <c r="E66" s="2" t="s">
        <v>102</v>
      </c>
      <c r="F66" s="2" t="s">
        <v>102</v>
      </c>
      <c r="G66" s="2" t="s">
        <v>50</v>
      </c>
      <c r="H66" s="4"/>
      <c r="I66" s="51">
        <v>0</v>
      </c>
      <c r="J66" s="262">
        <v>0</v>
      </c>
      <c r="K66" s="264">
        <v>0</v>
      </c>
      <c r="L66" s="3">
        <v>140000</v>
      </c>
      <c r="M66" s="3">
        <f t="shared" si="0"/>
        <v>0</v>
      </c>
      <c r="N66" s="3">
        <f t="shared" si="1"/>
        <v>0</v>
      </c>
      <c r="O66" s="265">
        <f t="shared" si="9"/>
        <v>140000</v>
      </c>
      <c r="P66" s="3">
        <v>0</v>
      </c>
      <c r="Q66" s="3">
        <v>0</v>
      </c>
      <c r="R66" s="3">
        <v>0</v>
      </c>
      <c r="S66" s="3">
        <f t="shared" si="2"/>
        <v>140000</v>
      </c>
      <c r="T66" s="3">
        <f t="shared" si="3"/>
        <v>14000</v>
      </c>
      <c r="U66" s="3">
        <f t="shared" si="4"/>
        <v>7000</v>
      </c>
      <c r="V66" s="3">
        <f t="shared" si="5"/>
        <v>56000</v>
      </c>
      <c r="W66" s="3">
        <f t="shared" si="7"/>
        <v>77000</v>
      </c>
      <c r="X66" s="3">
        <f t="shared" si="8"/>
        <v>161000</v>
      </c>
      <c r="Y66" s="3">
        <f t="shared" si="6"/>
        <v>217000</v>
      </c>
      <c r="Z66" s="245">
        <v>30</v>
      </c>
    </row>
    <row r="67" spans="1:27" hidden="1" x14ac:dyDescent="0.25">
      <c r="A67" s="2">
        <v>64</v>
      </c>
      <c r="B67" s="296" t="s">
        <v>205</v>
      </c>
      <c r="C67" s="2" t="s">
        <v>14</v>
      </c>
      <c r="D67" s="2" t="s">
        <v>87</v>
      </c>
      <c r="E67" s="2" t="s">
        <v>102</v>
      </c>
      <c r="F67" s="2" t="s">
        <v>102</v>
      </c>
      <c r="G67" s="2" t="s">
        <v>50</v>
      </c>
      <c r="H67" s="4"/>
      <c r="I67" s="51">
        <v>0</v>
      </c>
      <c r="J67" s="262">
        <v>0</v>
      </c>
      <c r="K67" s="264">
        <v>0</v>
      </c>
      <c r="L67" s="3">
        <v>150000</v>
      </c>
      <c r="M67" s="3">
        <f t="shared" si="0"/>
        <v>0</v>
      </c>
      <c r="N67" s="3">
        <f t="shared" si="1"/>
        <v>0</v>
      </c>
      <c r="O67" s="265">
        <f t="shared" si="9"/>
        <v>150000</v>
      </c>
      <c r="P67" s="3">
        <v>0</v>
      </c>
      <c r="Q67" s="3">
        <v>0</v>
      </c>
      <c r="R67" s="3">
        <v>0</v>
      </c>
      <c r="S67" s="3">
        <f t="shared" si="2"/>
        <v>150000</v>
      </c>
      <c r="T67" s="3">
        <f t="shared" si="3"/>
        <v>15000</v>
      </c>
      <c r="U67" s="3">
        <f t="shared" si="4"/>
        <v>7500</v>
      </c>
      <c r="V67" s="3">
        <f t="shared" si="5"/>
        <v>60000</v>
      </c>
      <c r="W67" s="3">
        <f t="shared" si="7"/>
        <v>82500</v>
      </c>
      <c r="X67" s="3">
        <f t="shared" si="8"/>
        <v>172500</v>
      </c>
      <c r="Y67" s="3">
        <f t="shared" si="6"/>
        <v>232500</v>
      </c>
      <c r="Z67" s="245">
        <v>30</v>
      </c>
    </row>
    <row r="68" spans="1:27" x14ac:dyDescent="0.25">
      <c r="A68" s="2">
        <v>65</v>
      </c>
      <c r="B68" s="296" t="s">
        <v>206</v>
      </c>
      <c r="C68" s="2" t="s">
        <v>14</v>
      </c>
      <c r="D68" s="2" t="s">
        <v>70</v>
      </c>
      <c r="E68" s="2" t="s">
        <v>102</v>
      </c>
      <c r="F68" s="2" t="s">
        <v>102</v>
      </c>
      <c r="G68" s="2" t="s">
        <v>50</v>
      </c>
      <c r="H68" s="4"/>
      <c r="I68" s="51">
        <v>0</v>
      </c>
      <c r="J68" s="262">
        <v>0</v>
      </c>
      <c r="K68" s="264">
        <v>0</v>
      </c>
      <c r="L68" s="3">
        <v>24000</v>
      </c>
      <c r="M68" s="3">
        <f t="shared" ref="M68:M118" si="16">0.15*(I68*3.77+J68*4.3+K68*1.1)</f>
        <v>0</v>
      </c>
      <c r="N68" s="3">
        <f t="shared" ref="N68:N118" si="17">0.2*(I68*3.77+J68*4.3+K68*1.1)</f>
        <v>0</v>
      </c>
      <c r="O68" s="265">
        <f t="shared" ref="O68:O118" si="18">N68+M68+L68+1.1*K68+J68*4.3+I68*3.77</f>
        <v>24000</v>
      </c>
      <c r="P68" s="3">
        <v>0</v>
      </c>
      <c r="Q68" s="3">
        <v>0</v>
      </c>
      <c r="R68" s="3">
        <v>0</v>
      </c>
      <c r="S68" s="3">
        <f t="shared" ref="S68:S118" si="19">SUM(O68:R68)</f>
        <v>24000</v>
      </c>
      <c r="T68" s="3">
        <f t="shared" ref="T68:T118" si="20">0.1*S68</f>
        <v>2400</v>
      </c>
      <c r="U68" s="3">
        <f t="shared" ref="U68:U118" si="21">0.05*S68</f>
        <v>1200</v>
      </c>
      <c r="V68" s="3">
        <f t="shared" ref="V68:V118" si="22">0.4*S68</f>
        <v>9600</v>
      </c>
      <c r="W68" s="3">
        <f t="shared" si="7"/>
        <v>13200</v>
      </c>
      <c r="X68" s="3">
        <f t="shared" si="8"/>
        <v>27600</v>
      </c>
      <c r="Y68" s="3">
        <f t="shared" ref="Y68:Y118" si="23">(W68+S68)*(1-$AB$1)</f>
        <v>37200</v>
      </c>
      <c r="Z68" s="2">
        <v>5</v>
      </c>
    </row>
    <row r="69" spans="1:27" x14ac:dyDescent="0.25">
      <c r="A69" s="2">
        <v>66</v>
      </c>
      <c r="B69" s="296" t="s">
        <v>513</v>
      </c>
      <c r="C69" s="2" t="s">
        <v>14</v>
      </c>
      <c r="D69" s="2" t="s">
        <v>72</v>
      </c>
      <c r="E69" s="2" t="s">
        <v>102</v>
      </c>
      <c r="F69" s="2" t="s">
        <v>102</v>
      </c>
      <c r="G69" s="2" t="s">
        <v>50</v>
      </c>
      <c r="H69" s="4"/>
      <c r="I69" s="51">
        <v>0</v>
      </c>
      <c r="J69" s="262">
        <v>0</v>
      </c>
      <c r="K69" s="264">
        <v>0</v>
      </c>
      <c r="L69" s="3">
        <v>25000</v>
      </c>
      <c r="M69" s="3">
        <f t="shared" si="16"/>
        <v>0</v>
      </c>
      <c r="N69" s="3">
        <f t="shared" si="17"/>
        <v>0</v>
      </c>
      <c r="O69" s="265">
        <f t="shared" si="18"/>
        <v>25000</v>
      </c>
      <c r="P69" s="3">
        <v>0</v>
      </c>
      <c r="Q69" s="3">
        <v>0</v>
      </c>
      <c r="R69" s="3">
        <v>0</v>
      </c>
      <c r="S69" s="3">
        <f t="shared" si="19"/>
        <v>25000</v>
      </c>
      <c r="T69" s="3">
        <f t="shared" si="20"/>
        <v>2500</v>
      </c>
      <c r="U69" s="3">
        <f t="shared" si="21"/>
        <v>1250</v>
      </c>
      <c r="V69" s="3">
        <f t="shared" si="22"/>
        <v>10000</v>
      </c>
      <c r="W69" s="3">
        <f t="shared" ref="W69" si="24">SUM(T69:V69)</f>
        <v>13750</v>
      </c>
      <c r="X69" s="3">
        <f t="shared" ref="X69" si="25">SUM(S69:U69)</f>
        <v>28750</v>
      </c>
      <c r="Y69" s="3">
        <f t="shared" si="23"/>
        <v>38750</v>
      </c>
      <c r="Z69" s="2">
        <v>5</v>
      </c>
    </row>
    <row r="70" spans="1:27" s="249" customFormat="1" x14ac:dyDescent="0.25">
      <c r="A70" s="245">
        <v>67</v>
      </c>
      <c r="B70" s="296" t="s">
        <v>682</v>
      </c>
      <c r="C70" s="2" t="s">
        <v>14</v>
      </c>
      <c r="D70" s="245" t="s">
        <v>683</v>
      </c>
      <c r="E70" s="2" t="s">
        <v>102</v>
      </c>
      <c r="F70" s="2" t="s">
        <v>102</v>
      </c>
      <c r="G70" s="245" t="s">
        <v>50</v>
      </c>
      <c r="H70" s="246"/>
      <c r="I70" s="51">
        <v>0</v>
      </c>
      <c r="J70" s="262">
        <v>0</v>
      </c>
      <c r="K70" s="264">
        <v>0</v>
      </c>
      <c r="L70" s="247">
        <v>37000</v>
      </c>
      <c r="M70" s="3">
        <f t="shared" si="16"/>
        <v>0</v>
      </c>
      <c r="N70" s="3">
        <f t="shared" si="17"/>
        <v>0</v>
      </c>
      <c r="O70" s="265">
        <f t="shared" si="18"/>
        <v>37000</v>
      </c>
      <c r="P70" s="247">
        <v>0</v>
      </c>
      <c r="Q70" s="247">
        <v>0</v>
      </c>
      <c r="R70" s="247">
        <v>0</v>
      </c>
      <c r="S70" s="3">
        <f t="shared" si="19"/>
        <v>37000</v>
      </c>
      <c r="T70" s="3">
        <f t="shared" si="20"/>
        <v>3700</v>
      </c>
      <c r="U70" s="3">
        <f t="shared" si="21"/>
        <v>1850</v>
      </c>
      <c r="V70" s="3">
        <f t="shared" si="22"/>
        <v>14800</v>
      </c>
      <c r="W70" s="247">
        <f t="shared" ref="W70" si="26">SUM(T70:V70)</f>
        <v>20350</v>
      </c>
      <c r="X70" s="247">
        <f t="shared" ref="X70" si="27">SUM(S70:U70)</f>
        <v>42550</v>
      </c>
      <c r="Y70" s="3">
        <f t="shared" si="23"/>
        <v>57350</v>
      </c>
      <c r="Z70" s="245">
        <v>10</v>
      </c>
      <c r="AA70" s="248"/>
    </row>
    <row r="71" spans="1:27" s="249" customFormat="1" x14ac:dyDescent="0.25">
      <c r="A71" s="245">
        <v>68</v>
      </c>
      <c r="B71" s="296" t="s">
        <v>512</v>
      </c>
      <c r="C71" s="2" t="s">
        <v>14</v>
      </c>
      <c r="D71" s="245" t="s">
        <v>298</v>
      </c>
      <c r="E71" s="2" t="s">
        <v>102</v>
      </c>
      <c r="F71" s="2" t="s">
        <v>102</v>
      </c>
      <c r="G71" s="245" t="s">
        <v>50</v>
      </c>
      <c r="H71" s="246"/>
      <c r="I71" s="51">
        <v>0</v>
      </c>
      <c r="J71" s="262">
        <v>0</v>
      </c>
      <c r="K71" s="264">
        <v>0</v>
      </c>
      <c r="L71" s="247">
        <v>40000</v>
      </c>
      <c r="M71" s="3">
        <f t="shared" si="16"/>
        <v>0</v>
      </c>
      <c r="N71" s="3">
        <f t="shared" si="17"/>
        <v>0</v>
      </c>
      <c r="O71" s="265">
        <f t="shared" si="18"/>
        <v>40000</v>
      </c>
      <c r="P71" s="247">
        <v>0</v>
      </c>
      <c r="Q71" s="247">
        <v>0</v>
      </c>
      <c r="R71" s="247">
        <v>0</v>
      </c>
      <c r="S71" s="3">
        <f t="shared" si="19"/>
        <v>40000</v>
      </c>
      <c r="T71" s="3">
        <f t="shared" si="20"/>
        <v>4000</v>
      </c>
      <c r="U71" s="3">
        <f t="shared" si="21"/>
        <v>2000</v>
      </c>
      <c r="V71" s="3">
        <f t="shared" si="22"/>
        <v>16000</v>
      </c>
      <c r="W71" s="247">
        <f t="shared" si="7"/>
        <v>22000</v>
      </c>
      <c r="X71" s="247">
        <f t="shared" si="8"/>
        <v>46000</v>
      </c>
      <c r="Y71" s="3">
        <f t="shared" si="23"/>
        <v>62000</v>
      </c>
      <c r="Z71" s="245">
        <v>10</v>
      </c>
      <c r="AA71" s="248"/>
    </row>
    <row r="72" spans="1:27" s="249" customFormat="1" x14ac:dyDescent="0.25">
      <c r="A72" s="245">
        <v>69</v>
      </c>
      <c r="B72" s="296" t="s">
        <v>684</v>
      </c>
      <c r="C72" s="2" t="s">
        <v>14</v>
      </c>
      <c r="D72" s="245" t="s">
        <v>523</v>
      </c>
      <c r="E72" s="2" t="s">
        <v>102</v>
      </c>
      <c r="F72" s="2" t="s">
        <v>102</v>
      </c>
      <c r="G72" s="245" t="s">
        <v>50</v>
      </c>
      <c r="H72" s="246"/>
      <c r="I72" s="51">
        <v>0</v>
      </c>
      <c r="J72" s="262">
        <v>0</v>
      </c>
      <c r="K72" s="264">
        <v>0</v>
      </c>
      <c r="L72" s="247">
        <v>45000</v>
      </c>
      <c r="M72" s="3">
        <f t="shared" si="16"/>
        <v>0</v>
      </c>
      <c r="N72" s="3">
        <f t="shared" si="17"/>
        <v>0</v>
      </c>
      <c r="O72" s="265">
        <f t="shared" si="18"/>
        <v>45000</v>
      </c>
      <c r="P72" s="247">
        <v>0</v>
      </c>
      <c r="Q72" s="247">
        <v>0</v>
      </c>
      <c r="R72" s="247">
        <v>0</v>
      </c>
      <c r="S72" s="3">
        <f t="shared" si="19"/>
        <v>45000</v>
      </c>
      <c r="T72" s="3">
        <f t="shared" si="20"/>
        <v>4500</v>
      </c>
      <c r="U72" s="3">
        <f t="shared" si="21"/>
        <v>2250</v>
      </c>
      <c r="V72" s="3">
        <f t="shared" si="22"/>
        <v>18000</v>
      </c>
      <c r="W72" s="247">
        <f t="shared" si="7"/>
        <v>24750</v>
      </c>
      <c r="X72" s="247">
        <f t="shared" si="8"/>
        <v>51750</v>
      </c>
      <c r="Y72" s="3">
        <f t="shared" si="23"/>
        <v>69750</v>
      </c>
      <c r="Z72" s="245">
        <v>10</v>
      </c>
      <c r="AA72" s="248"/>
    </row>
    <row r="73" spans="1:27" s="249" customFormat="1" x14ac:dyDescent="0.25">
      <c r="A73" s="245"/>
      <c r="B73" s="296" t="s">
        <v>726</v>
      </c>
      <c r="C73" s="2"/>
      <c r="D73" s="245"/>
      <c r="E73" s="2"/>
      <c r="F73" s="2"/>
      <c r="G73" s="245"/>
      <c r="H73" s="246"/>
      <c r="I73" s="51">
        <v>0</v>
      </c>
      <c r="J73" s="262">
        <v>0</v>
      </c>
      <c r="K73" s="264">
        <v>0</v>
      </c>
      <c r="L73" s="247">
        <v>48000</v>
      </c>
      <c r="M73" s="3">
        <f t="shared" ref="M73" si="28">0.15*(I73*3.77+J73*4.3+K73*1.1)</f>
        <v>0</v>
      </c>
      <c r="N73" s="3">
        <f t="shared" ref="N73" si="29">0.2*(I73*3.77+J73*4.3+K73*1.1)</f>
        <v>0</v>
      </c>
      <c r="O73" s="265">
        <f t="shared" ref="O73" si="30">N73+M73+L73+1.1*K73+J73*4.3+I73*3.77</f>
        <v>48000</v>
      </c>
      <c r="P73" s="247">
        <v>0</v>
      </c>
      <c r="Q73" s="247">
        <v>0</v>
      </c>
      <c r="R73" s="247">
        <v>0</v>
      </c>
      <c r="S73" s="3">
        <f t="shared" ref="S73" si="31">SUM(O73:R73)</f>
        <v>48000</v>
      </c>
      <c r="T73" s="3">
        <f t="shared" ref="T73" si="32">0.1*S73</f>
        <v>4800</v>
      </c>
      <c r="U73" s="3">
        <f t="shared" ref="U73" si="33">0.05*S73</f>
        <v>2400</v>
      </c>
      <c r="V73" s="3">
        <f t="shared" ref="V73" si="34">0.4*S73</f>
        <v>19200</v>
      </c>
      <c r="W73" s="247">
        <f t="shared" si="7"/>
        <v>26400</v>
      </c>
      <c r="X73" s="247">
        <f t="shared" si="8"/>
        <v>55200</v>
      </c>
      <c r="Y73" s="3">
        <f t="shared" ref="Y73" si="35">(W73+S73)*(1-$AB$1)</f>
        <v>74400</v>
      </c>
      <c r="Z73" s="245">
        <v>10</v>
      </c>
      <c r="AA73" s="248"/>
    </row>
    <row r="74" spans="1:27" x14ac:dyDescent="0.25">
      <c r="A74" s="2">
        <v>70</v>
      </c>
      <c r="B74" s="296" t="s">
        <v>207</v>
      </c>
      <c r="C74" s="2" t="s">
        <v>14</v>
      </c>
      <c r="D74" s="2" t="s">
        <v>75</v>
      </c>
      <c r="E74" s="2" t="s">
        <v>102</v>
      </c>
      <c r="F74" s="2" t="s">
        <v>102</v>
      </c>
      <c r="G74" s="2" t="s">
        <v>50</v>
      </c>
      <c r="H74" s="4"/>
      <c r="I74" s="51">
        <v>0</v>
      </c>
      <c r="J74" s="262">
        <v>0</v>
      </c>
      <c r="K74" s="264">
        <v>0</v>
      </c>
      <c r="L74" s="244">
        <v>50000</v>
      </c>
      <c r="M74" s="3">
        <f t="shared" si="16"/>
        <v>0</v>
      </c>
      <c r="N74" s="3">
        <f t="shared" si="17"/>
        <v>0</v>
      </c>
      <c r="O74" s="265">
        <f t="shared" si="18"/>
        <v>50000</v>
      </c>
      <c r="P74" s="3">
        <v>0</v>
      </c>
      <c r="Q74" s="3">
        <v>0</v>
      </c>
      <c r="R74" s="3">
        <v>0</v>
      </c>
      <c r="S74" s="3">
        <f t="shared" si="19"/>
        <v>50000</v>
      </c>
      <c r="T74" s="3">
        <f t="shared" si="20"/>
        <v>5000</v>
      </c>
      <c r="U74" s="3">
        <f t="shared" si="21"/>
        <v>2500</v>
      </c>
      <c r="V74" s="3">
        <f t="shared" si="22"/>
        <v>20000</v>
      </c>
      <c r="W74" s="3">
        <f t="shared" si="7"/>
        <v>27500</v>
      </c>
      <c r="X74" s="3">
        <f t="shared" si="8"/>
        <v>57500</v>
      </c>
      <c r="Y74" s="3">
        <f t="shared" si="23"/>
        <v>77500</v>
      </c>
      <c r="Z74" s="2">
        <v>10</v>
      </c>
    </row>
    <row r="75" spans="1:27" x14ac:dyDescent="0.25">
      <c r="A75" s="2">
        <v>71</v>
      </c>
      <c r="B75" s="296" t="s">
        <v>685</v>
      </c>
      <c r="C75" s="2" t="s">
        <v>14</v>
      </c>
      <c r="D75" s="2" t="s">
        <v>686</v>
      </c>
      <c r="E75" s="2" t="s">
        <v>102</v>
      </c>
      <c r="F75" s="2" t="s">
        <v>102</v>
      </c>
      <c r="G75" s="2" t="s">
        <v>50</v>
      </c>
      <c r="H75" s="4"/>
      <c r="I75" s="51">
        <v>0</v>
      </c>
      <c r="J75" s="262">
        <v>0</v>
      </c>
      <c r="K75" s="264">
        <v>0</v>
      </c>
      <c r="L75" s="3">
        <v>55000</v>
      </c>
      <c r="M75" s="3">
        <f t="shared" si="16"/>
        <v>0</v>
      </c>
      <c r="N75" s="3">
        <f t="shared" si="17"/>
        <v>0</v>
      </c>
      <c r="O75" s="265">
        <f t="shared" si="18"/>
        <v>55000</v>
      </c>
      <c r="P75" s="3">
        <v>0</v>
      </c>
      <c r="Q75" s="3">
        <v>0</v>
      </c>
      <c r="R75" s="3">
        <v>0</v>
      </c>
      <c r="S75" s="3">
        <f t="shared" si="19"/>
        <v>55000</v>
      </c>
      <c r="T75" s="3">
        <f t="shared" si="20"/>
        <v>5500</v>
      </c>
      <c r="U75" s="3">
        <f t="shared" si="21"/>
        <v>2750</v>
      </c>
      <c r="V75" s="3">
        <f t="shared" si="22"/>
        <v>22000</v>
      </c>
      <c r="W75" s="3">
        <f t="shared" ref="W75:W126" si="36">SUM(T75:V75)</f>
        <v>30250</v>
      </c>
      <c r="X75" s="3">
        <f t="shared" ref="X75:X126" si="37">SUM(S75:U75)</f>
        <v>63250</v>
      </c>
      <c r="Y75" s="3">
        <f t="shared" si="23"/>
        <v>85250</v>
      </c>
      <c r="Z75" s="2">
        <v>15</v>
      </c>
    </row>
    <row r="76" spans="1:27" s="249" customFormat="1" x14ac:dyDescent="0.25">
      <c r="A76" s="245">
        <v>72</v>
      </c>
      <c r="B76" s="296" t="s">
        <v>208</v>
      </c>
      <c r="C76" s="245" t="s">
        <v>14</v>
      </c>
      <c r="D76" s="245" t="s">
        <v>76</v>
      </c>
      <c r="E76" s="2" t="s">
        <v>102</v>
      </c>
      <c r="F76" s="2" t="s">
        <v>102</v>
      </c>
      <c r="G76" s="245" t="s">
        <v>50</v>
      </c>
      <c r="H76" s="246"/>
      <c r="I76" s="51">
        <v>0</v>
      </c>
      <c r="J76" s="262">
        <v>0</v>
      </c>
      <c r="K76" s="264">
        <v>0</v>
      </c>
      <c r="L76" s="247">
        <v>60000</v>
      </c>
      <c r="M76" s="3">
        <f t="shared" si="16"/>
        <v>0</v>
      </c>
      <c r="N76" s="3">
        <f t="shared" si="17"/>
        <v>0</v>
      </c>
      <c r="O76" s="265">
        <f t="shared" si="18"/>
        <v>60000</v>
      </c>
      <c r="P76" s="247">
        <v>0</v>
      </c>
      <c r="Q76" s="247">
        <v>0</v>
      </c>
      <c r="R76" s="247">
        <v>0</v>
      </c>
      <c r="S76" s="3">
        <f t="shared" si="19"/>
        <v>60000</v>
      </c>
      <c r="T76" s="3">
        <f t="shared" si="20"/>
        <v>6000</v>
      </c>
      <c r="U76" s="3">
        <f t="shared" si="21"/>
        <v>3000</v>
      </c>
      <c r="V76" s="3">
        <f t="shared" si="22"/>
        <v>24000</v>
      </c>
      <c r="W76" s="247">
        <f t="shared" si="36"/>
        <v>33000</v>
      </c>
      <c r="X76" s="247">
        <f t="shared" si="37"/>
        <v>69000</v>
      </c>
      <c r="Y76" s="3">
        <f t="shared" si="23"/>
        <v>93000</v>
      </c>
      <c r="Z76" s="2">
        <v>15</v>
      </c>
      <c r="AA76" s="248"/>
    </row>
    <row r="77" spans="1:27" s="249" customFormat="1" x14ac:dyDescent="0.25">
      <c r="A77" s="245"/>
      <c r="B77" s="296" t="s">
        <v>720</v>
      </c>
      <c r="C77" s="2" t="s">
        <v>14</v>
      </c>
      <c r="D77" s="245" t="s">
        <v>721</v>
      </c>
      <c r="E77" s="2" t="s">
        <v>102</v>
      </c>
      <c r="F77" s="2" t="s">
        <v>102</v>
      </c>
      <c r="G77" s="245" t="s">
        <v>50</v>
      </c>
      <c r="H77" s="246"/>
      <c r="I77" s="51">
        <v>0</v>
      </c>
      <c r="J77" s="262">
        <v>0</v>
      </c>
      <c r="K77" s="264">
        <v>0</v>
      </c>
      <c r="L77" s="247">
        <v>65000</v>
      </c>
      <c r="M77" s="3">
        <f t="shared" si="16"/>
        <v>0</v>
      </c>
      <c r="N77" s="3">
        <f t="shared" si="17"/>
        <v>0</v>
      </c>
      <c r="O77" s="265">
        <f t="shared" si="18"/>
        <v>65000</v>
      </c>
      <c r="P77" s="247">
        <v>0</v>
      </c>
      <c r="Q77" s="247">
        <v>0</v>
      </c>
      <c r="R77" s="247">
        <v>0</v>
      </c>
      <c r="S77" s="3">
        <f t="shared" si="19"/>
        <v>65000</v>
      </c>
      <c r="T77" s="3">
        <f t="shared" si="20"/>
        <v>6500</v>
      </c>
      <c r="U77" s="3">
        <f t="shared" si="21"/>
        <v>3250</v>
      </c>
      <c r="V77" s="3">
        <f t="shared" si="22"/>
        <v>26000</v>
      </c>
      <c r="W77" s="247">
        <f t="shared" ref="W77" si="38">SUM(T77:V77)</f>
        <v>35750</v>
      </c>
      <c r="X77" s="247">
        <f t="shared" ref="X77" si="39">SUM(S77:U77)</f>
        <v>74750</v>
      </c>
      <c r="Y77" s="3">
        <f t="shared" si="23"/>
        <v>100750</v>
      </c>
      <c r="Z77" s="2">
        <v>15</v>
      </c>
      <c r="AA77" s="248"/>
    </row>
    <row r="78" spans="1:27" s="249" customFormat="1" x14ac:dyDescent="0.25">
      <c r="A78" s="245">
        <v>73</v>
      </c>
      <c r="B78" s="296" t="s">
        <v>209</v>
      </c>
      <c r="C78" s="245" t="s">
        <v>14</v>
      </c>
      <c r="D78" s="245" t="s">
        <v>77</v>
      </c>
      <c r="E78" s="2" t="s">
        <v>102</v>
      </c>
      <c r="F78" s="2" t="s">
        <v>102</v>
      </c>
      <c r="G78" s="245" t="s">
        <v>50</v>
      </c>
      <c r="H78" s="246"/>
      <c r="I78" s="51">
        <v>0</v>
      </c>
      <c r="J78" s="262">
        <v>0</v>
      </c>
      <c r="K78" s="264">
        <v>0</v>
      </c>
      <c r="L78" s="247">
        <v>80000</v>
      </c>
      <c r="M78" s="3">
        <f t="shared" si="16"/>
        <v>0</v>
      </c>
      <c r="N78" s="3">
        <f t="shared" si="17"/>
        <v>0</v>
      </c>
      <c r="O78" s="265">
        <f t="shared" si="18"/>
        <v>80000</v>
      </c>
      <c r="P78" s="247">
        <v>0</v>
      </c>
      <c r="Q78" s="247">
        <v>0</v>
      </c>
      <c r="R78" s="247">
        <v>0</v>
      </c>
      <c r="S78" s="3">
        <f t="shared" si="19"/>
        <v>80000</v>
      </c>
      <c r="T78" s="3">
        <f t="shared" si="20"/>
        <v>8000</v>
      </c>
      <c r="U78" s="3">
        <f t="shared" si="21"/>
        <v>4000</v>
      </c>
      <c r="V78" s="3">
        <f t="shared" si="22"/>
        <v>32000</v>
      </c>
      <c r="W78" s="247">
        <f t="shared" si="36"/>
        <v>44000</v>
      </c>
      <c r="X78" s="247">
        <f t="shared" si="37"/>
        <v>92000</v>
      </c>
      <c r="Y78" s="3">
        <f t="shared" si="23"/>
        <v>124000</v>
      </c>
      <c r="Z78" s="2">
        <v>15</v>
      </c>
      <c r="AA78" s="248"/>
    </row>
    <row r="79" spans="1:27" s="249" customFormat="1" x14ac:dyDescent="0.25">
      <c r="A79" s="245">
        <v>74</v>
      </c>
      <c r="B79" s="296" t="s">
        <v>687</v>
      </c>
      <c r="C79" s="245" t="s">
        <v>14</v>
      </c>
      <c r="D79" s="245" t="s">
        <v>688</v>
      </c>
      <c r="E79" s="2" t="s">
        <v>102</v>
      </c>
      <c r="F79" s="2" t="s">
        <v>102</v>
      </c>
      <c r="G79" s="245" t="s">
        <v>50</v>
      </c>
      <c r="H79" s="246"/>
      <c r="I79" s="51">
        <v>0</v>
      </c>
      <c r="J79" s="262">
        <v>0</v>
      </c>
      <c r="K79" s="264">
        <v>0</v>
      </c>
      <c r="L79" s="247">
        <v>85000</v>
      </c>
      <c r="M79" s="3">
        <f t="shared" si="16"/>
        <v>0</v>
      </c>
      <c r="N79" s="3">
        <f t="shared" si="17"/>
        <v>0</v>
      </c>
      <c r="O79" s="265">
        <f t="shared" si="18"/>
        <v>85000</v>
      </c>
      <c r="P79" s="247">
        <v>0</v>
      </c>
      <c r="Q79" s="247">
        <v>0</v>
      </c>
      <c r="R79" s="247">
        <v>0</v>
      </c>
      <c r="S79" s="3">
        <f t="shared" si="19"/>
        <v>85000</v>
      </c>
      <c r="T79" s="3">
        <f t="shared" si="20"/>
        <v>8500</v>
      </c>
      <c r="U79" s="3">
        <f t="shared" si="21"/>
        <v>4250</v>
      </c>
      <c r="V79" s="3">
        <f t="shared" si="22"/>
        <v>34000</v>
      </c>
      <c r="W79" s="247">
        <f t="shared" si="36"/>
        <v>46750</v>
      </c>
      <c r="X79" s="247">
        <f t="shared" si="37"/>
        <v>97750</v>
      </c>
      <c r="Y79" s="3">
        <f t="shared" si="23"/>
        <v>131750</v>
      </c>
      <c r="Z79" s="2">
        <v>15</v>
      </c>
      <c r="AA79" s="248"/>
    </row>
    <row r="80" spans="1:27" s="249" customFormat="1" x14ac:dyDescent="0.25">
      <c r="A80" s="245"/>
      <c r="B80" s="296" t="s">
        <v>722</v>
      </c>
      <c r="C80" s="2" t="s">
        <v>14</v>
      </c>
      <c r="D80" s="245" t="s">
        <v>723</v>
      </c>
      <c r="E80" s="2" t="s">
        <v>102</v>
      </c>
      <c r="F80" s="2" t="s">
        <v>102</v>
      </c>
      <c r="G80" s="245" t="s">
        <v>50</v>
      </c>
      <c r="H80" s="246"/>
      <c r="I80" s="51">
        <v>0</v>
      </c>
      <c r="J80" s="262">
        <v>0</v>
      </c>
      <c r="K80" s="264">
        <v>0</v>
      </c>
      <c r="L80" s="247">
        <v>90000</v>
      </c>
      <c r="M80" s="3">
        <f t="shared" si="16"/>
        <v>0</v>
      </c>
      <c r="N80" s="3">
        <f t="shared" si="17"/>
        <v>0</v>
      </c>
      <c r="O80" s="265">
        <f t="shared" si="18"/>
        <v>90000</v>
      </c>
      <c r="P80" s="247">
        <v>0</v>
      </c>
      <c r="Q80" s="247">
        <v>0</v>
      </c>
      <c r="R80" s="247">
        <v>0</v>
      </c>
      <c r="S80" s="3">
        <f t="shared" si="19"/>
        <v>90000</v>
      </c>
      <c r="T80" s="3">
        <f t="shared" si="20"/>
        <v>9000</v>
      </c>
      <c r="U80" s="3">
        <f t="shared" si="21"/>
        <v>4500</v>
      </c>
      <c r="V80" s="3">
        <f t="shared" si="22"/>
        <v>36000</v>
      </c>
      <c r="W80" s="247">
        <f t="shared" ref="W80" si="40">SUM(T80:V80)</f>
        <v>49500</v>
      </c>
      <c r="X80" s="247">
        <f t="shared" ref="X80" si="41">SUM(S80:U80)</f>
        <v>103500</v>
      </c>
      <c r="Y80" s="3">
        <f t="shared" si="23"/>
        <v>139500</v>
      </c>
      <c r="Z80" s="2">
        <v>15</v>
      </c>
      <c r="AA80" s="248"/>
    </row>
    <row r="81" spans="1:27" s="249" customFormat="1" x14ac:dyDescent="0.25">
      <c r="A81" s="245">
        <v>75</v>
      </c>
      <c r="B81" s="296" t="s">
        <v>219</v>
      </c>
      <c r="C81" s="245" t="s">
        <v>14</v>
      </c>
      <c r="D81" s="245" t="s">
        <v>79</v>
      </c>
      <c r="E81" s="2" t="s">
        <v>102</v>
      </c>
      <c r="F81" s="2" t="s">
        <v>102</v>
      </c>
      <c r="G81" s="245" t="s">
        <v>50</v>
      </c>
      <c r="H81" s="246"/>
      <c r="I81" s="51">
        <v>0</v>
      </c>
      <c r="J81" s="262">
        <v>0</v>
      </c>
      <c r="K81" s="264">
        <v>0</v>
      </c>
      <c r="L81" s="247">
        <v>100000</v>
      </c>
      <c r="M81" s="3">
        <f t="shared" si="16"/>
        <v>0</v>
      </c>
      <c r="N81" s="3">
        <f t="shared" si="17"/>
        <v>0</v>
      </c>
      <c r="O81" s="265">
        <f t="shared" si="18"/>
        <v>100000</v>
      </c>
      <c r="P81" s="247">
        <v>0</v>
      </c>
      <c r="Q81" s="247">
        <v>0</v>
      </c>
      <c r="R81" s="247">
        <v>0</v>
      </c>
      <c r="S81" s="3">
        <f t="shared" si="19"/>
        <v>100000</v>
      </c>
      <c r="T81" s="3">
        <f t="shared" si="20"/>
        <v>10000</v>
      </c>
      <c r="U81" s="3">
        <f t="shared" si="21"/>
        <v>5000</v>
      </c>
      <c r="V81" s="3">
        <f t="shared" si="22"/>
        <v>40000</v>
      </c>
      <c r="W81" s="247">
        <f t="shared" si="36"/>
        <v>55000</v>
      </c>
      <c r="X81" s="247">
        <f t="shared" si="37"/>
        <v>115000</v>
      </c>
      <c r="Y81" s="3">
        <f t="shared" si="23"/>
        <v>155000</v>
      </c>
      <c r="Z81" s="2">
        <v>15</v>
      </c>
      <c r="AA81" s="248"/>
    </row>
    <row r="82" spans="1:27" s="249" customFormat="1" x14ac:dyDescent="0.25">
      <c r="A82" s="245"/>
      <c r="B82" s="296" t="s">
        <v>724</v>
      </c>
      <c r="C82" s="2" t="s">
        <v>14</v>
      </c>
      <c r="D82" s="245" t="s">
        <v>725</v>
      </c>
      <c r="E82" s="2" t="s">
        <v>102</v>
      </c>
      <c r="F82" s="2" t="s">
        <v>102</v>
      </c>
      <c r="G82" s="245" t="s">
        <v>50</v>
      </c>
      <c r="H82" s="246"/>
      <c r="I82" s="51">
        <v>0</v>
      </c>
      <c r="J82" s="262">
        <v>0</v>
      </c>
      <c r="K82" s="264">
        <v>0</v>
      </c>
      <c r="L82" s="247">
        <v>107000</v>
      </c>
      <c r="M82" s="3">
        <f t="shared" si="16"/>
        <v>0</v>
      </c>
      <c r="N82" s="3">
        <f t="shared" si="17"/>
        <v>0</v>
      </c>
      <c r="O82" s="265">
        <f t="shared" si="18"/>
        <v>107000</v>
      </c>
      <c r="P82" s="247">
        <v>0</v>
      </c>
      <c r="Q82" s="247">
        <v>0</v>
      </c>
      <c r="R82" s="247">
        <v>0</v>
      </c>
      <c r="S82" s="3">
        <f t="shared" si="19"/>
        <v>107000</v>
      </c>
      <c r="T82" s="3">
        <f t="shared" si="20"/>
        <v>10700</v>
      </c>
      <c r="U82" s="3">
        <f t="shared" si="21"/>
        <v>5350</v>
      </c>
      <c r="V82" s="3">
        <f t="shared" si="22"/>
        <v>42800</v>
      </c>
      <c r="W82" s="247">
        <f t="shared" ref="W82" si="42">SUM(T82:V82)</f>
        <v>58850</v>
      </c>
      <c r="X82" s="247">
        <f t="shared" ref="X82" si="43">SUM(S82:U82)</f>
        <v>123050</v>
      </c>
      <c r="Y82" s="3">
        <f t="shared" si="23"/>
        <v>165850</v>
      </c>
      <c r="Z82" s="2">
        <v>15</v>
      </c>
      <c r="AA82" s="248"/>
    </row>
    <row r="83" spans="1:27" x14ac:dyDescent="0.25">
      <c r="A83" s="2">
        <v>76</v>
      </c>
      <c r="B83" s="296" t="s">
        <v>220</v>
      </c>
      <c r="C83" s="2" t="s">
        <v>14</v>
      </c>
      <c r="D83" s="2" t="s">
        <v>80</v>
      </c>
      <c r="E83" s="2" t="s">
        <v>102</v>
      </c>
      <c r="F83" s="2" t="s">
        <v>102</v>
      </c>
      <c r="G83" s="2" t="s">
        <v>50</v>
      </c>
      <c r="H83" s="4"/>
      <c r="I83" s="51">
        <v>0</v>
      </c>
      <c r="J83" s="262">
        <v>0</v>
      </c>
      <c r="K83" s="264">
        <v>0</v>
      </c>
      <c r="L83" s="3">
        <v>125000</v>
      </c>
      <c r="M83" s="3">
        <f t="shared" si="16"/>
        <v>0</v>
      </c>
      <c r="N83" s="3">
        <f t="shared" si="17"/>
        <v>0</v>
      </c>
      <c r="O83" s="265">
        <f t="shared" si="18"/>
        <v>125000</v>
      </c>
      <c r="P83" s="3">
        <v>0</v>
      </c>
      <c r="Q83" s="3">
        <v>0</v>
      </c>
      <c r="R83" s="3">
        <v>0</v>
      </c>
      <c r="S83" s="3">
        <f t="shared" si="19"/>
        <v>125000</v>
      </c>
      <c r="T83" s="3">
        <f t="shared" si="20"/>
        <v>12500</v>
      </c>
      <c r="U83" s="3">
        <f t="shared" si="21"/>
        <v>6250</v>
      </c>
      <c r="V83" s="3">
        <f t="shared" si="22"/>
        <v>50000</v>
      </c>
      <c r="W83" s="3">
        <f t="shared" si="36"/>
        <v>68750</v>
      </c>
      <c r="X83" s="3">
        <f t="shared" si="37"/>
        <v>143750</v>
      </c>
      <c r="Y83" s="3">
        <f t="shared" si="23"/>
        <v>193750</v>
      </c>
      <c r="Z83" s="2">
        <v>15</v>
      </c>
    </row>
    <row r="84" spans="1:27" x14ac:dyDescent="0.25">
      <c r="A84" s="2">
        <v>77</v>
      </c>
      <c r="B84" s="296" t="s">
        <v>689</v>
      </c>
      <c r="C84" s="2" t="s">
        <v>14</v>
      </c>
      <c r="D84" s="2" t="s">
        <v>303</v>
      </c>
      <c r="E84" s="2" t="s">
        <v>102</v>
      </c>
      <c r="F84" s="2" t="s">
        <v>102</v>
      </c>
      <c r="G84" s="2" t="s">
        <v>50</v>
      </c>
      <c r="H84" s="4"/>
      <c r="I84" s="51">
        <v>0</v>
      </c>
      <c r="J84" s="262">
        <v>0</v>
      </c>
      <c r="K84" s="264">
        <v>0</v>
      </c>
      <c r="L84" s="3">
        <v>135000</v>
      </c>
      <c r="M84" s="3">
        <f t="shared" si="16"/>
        <v>0</v>
      </c>
      <c r="N84" s="3">
        <f t="shared" si="17"/>
        <v>0</v>
      </c>
      <c r="O84" s="265">
        <f t="shared" si="18"/>
        <v>135000</v>
      </c>
      <c r="P84" s="3">
        <v>0</v>
      </c>
      <c r="Q84" s="3">
        <v>0</v>
      </c>
      <c r="R84" s="3">
        <v>0</v>
      </c>
      <c r="S84" s="3">
        <f t="shared" si="19"/>
        <v>135000</v>
      </c>
      <c r="T84" s="3">
        <f t="shared" si="20"/>
        <v>13500</v>
      </c>
      <c r="U84" s="3">
        <f t="shared" si="21"/>
        <v>6750</v>
      </c>
      <c r="V84" s="3">
        <f t="shared" si="22"/>
        <v>54000</v>
      </c>
      <c r="W84" s="3">
        <f t="shared" si="36"/>
        <v>74250</v>
      </c>
      <c r="X84" s="3">
        <f t="shared" si="37"/>
        <v>155250</v>
      </c>
      <c r="Y84" s="3">
        <f t="shared" si="23"/>
        <v>209250</v>
      </c>
      <c r="Z84" s="2">
        <v>15</v>
      </c>
    </row>
    <row r="85" spans="1:27" x14ac:dyDescent="0.25">
      <c r="A85" s="2">
        <v>77</v>
      </c>
      <c r="B85" s="296" t="s">
        <v>912</v>
      </c>
      <c r="C85" s="2" t="s">
        <v>14</v>
      </c>
      <c r="D85" s="2" t="s">
        <v>81</v>
      </c>
      <c r="E85" s="2" t="s">
        <v>102</v>
      </c>
      <c r="F85" s="2" t="s">
        <v>102</v>
      </c>
      <c r="G85" s="2" t="s">
        <v>50</v>
      </c>
      <c r="H85" s="4"/>
      <c r="I85" s="51">
        <v>0</v>
      </c>
      <c r="J85" s="262">
        <v>0</v>
      </c>
      <c r="K85" s="264">
        <v>0</v>
      </c>
      <c r="L85" s="3">
        <v>142000</v>
      </c>
      <c r="M85" s="3">
        <f t="shared" ref="M85" si="44">0.15*(I85*3.77+J85*4.3+K85*1.1)</f>
        <v>0</v>
      </c>
      <c r="N85" s="3">
        <f t="shared" ref="N85" si="45">0.2*(I85*3.77+J85*4.3+K85*1.1)</f>
        <v>0</v>
      </c>
      <c r="O85" s="265">
        <f t="shared" ref="O85" si="46">N85+M85+L85+1.1*K85+J85*4.3+I85*3.77</f>
        <v>142000</v>
      </c>
      <c r="P85" s="3">
        <v>0</v>
      </c>
      <c r="Q85" s="3">
        <v>0</v>
      </c>
      <c r="R85" s="3">
        <v>0</v>
      </c>
      <c r="S85" s="3">
        <f t="shared" ref="S85" si="47">SUM(O85:R85)</f>
        <v>142000</v>
      </c>
      <c r="T85" s="3">
        <f t="shared" ref="T85" si="48">0.1*S85</f>
        <v>14200</v>
      </c>
      <c r="U85" s="3">
        <f t="shared" ref="U85" si="49">0.05*S85</f>
        <v>7100</v>
      </c>
      <c r="V85" s="3">
        <f t="shared" ref="V85" si="50">0.4*S85</f>
        <v>56800</v>
      </c>
      <c r="W85" s="3">
        <f t="shared" ref="W85" si="51">SUM(T85:V85)</f>
        <v>78100</v>
      </c>
      <c r="X85" s="3">
        <f t="shared" ref="X85" si="52">SUM(S85:U85)</f>
        <v>163300</v>
      </c>
      <c r="Y85" s="3">
        <f t="shared" ref="Y85" si="53">(W85+S85)*(1-$AB$1)</f>
        <v>220100</v>
      </c>
      <c r="Z85" s="2">
        <v>15</v>
      </c>
    </row>
    <row r="86" spans="1:27" x14ac:dyDescent="0.25">
      <c r="A86" s="2">
        <v>78</v>
      </c>
      <c r="B86" s="296" t="s">
        <v>221</v>
      </c>
      <c r="C86" s="2" t="s">
        <v>14</v>
      </c>
      <c r="D86" s="2" t="s">
        <v>82</v>
      </c>
      <c r="E86" s="2" t="s">
        <v>102</v>
      </c>
      <c r="F86" s="2" t="s">
        <v>102</v>
      </c>
      <c r="G86" s="2" t="s">
        <v>50</v>
      </c>
      <c r="H86" s="4"/>
      <c r="I86" s="51">
        <v>0</v>
      </c>
      <c r="J86" s="262">
        <v>0</v>
      </c>
      <c r="K86" s="264">
        <v>0</v>
      </c>
      <c r="L86" s="3">
        <v>150000</v>
      </c>
      <c r="M86" s="3">
        <f t="shared" si="16"/>
        <v>0</v>
      </c>
      <c r="N86" s="3">
        <f t="shared" si="17"/>
        <v>0</v>
      </c>
      <c r="O86" s="265">
        <f t="shared" si="18"/>
        <v>150000</v>
      </c>
      <c r="P86" s="3">
        <v>0</v>
      </c>
      <c r="Q86" s="3">
        <v>0</v>
      </c>
      <c r="R86" s="3">
        <v>0</v>
      </c>
      <c r="S86" s="3">
        <f t="shared" si="19"/>
        <v>150000</v>
      </c>
      <c r="T86" s="3">
        <f t="shared" si="20"/>
        <v>15000</v>
      </c>
      <c r="U86" s="3">
        <f t="shared" si="21"/>
        <v>7500</v>
      </c>
      <c r="V86" s="3">
        <f t="shared" si="22"/>
        <v>60000</v>
      </c>
      <c r="W86" s="3">
        <f t="shared" si="36"/>
        <v>82500</v>
      </c>
      <c r="X86" s="3">
        <f t="shared" si="37"/>
        <v>172500</v>
      </c>
      <c r="Y86" s="3">
        <f t="shared" si="23"/>
        <v>232500</v>
      </c>
      <c r="Z86" s="2">
        <v>15</v>
      </c>
    </row>
    <row r="87" spans="1:27" x14ac:dyDescent="0.25">
      <c r="A87" s="2">
        <v>79</v>
      </c>
      <c r="B87" s="296" t="s">
        <v>222</v>
      </c>
      <c r="C87" s="2" t="s">
        <v>14</v>
      </c>
      <c r="D87" s="2" t="s">
        <v>83</v>
      </c>
      <c r="E87" s="2" t="s">
        <v>102</v>
      </c>
      <c r="F87" s="2" t="s">
        <v>102</v>
      </c>
      <c r="G87" s="2" t="s">
        <v>50</v>
      </c>
      <c r="H87" s="4"/>
      <c r="I87" s="51">
        <v>0</v>
      </c>
      <c r="J87" s="262">
        <v>0</v>
      </c>
      <c r="K87" s="264">
        <v>0</v>
      </c>
      <c r="L87" s="3">
        <v>160000</v>
      </c>
      <c r="M87" s="3">
        <f t="shared" si="16"/>
        <v>0</v>
      </c>
      <c r="N87" s="3">
        <f t="shared" si="17"/>
        <v>0</v>
      </c>
      <c r="O87" s="265">
        <f t="shared" si="18"/>
        <v>160000</v>
      </c>
      <c r="P87" s="3">
        <v>0</v>
      </c>
      <c r="Q87" s="3">
        <v>0</v>
      </c>
      <c r="R87" s="3">
        <v>0</v>
      </c>
      <c r="S87" s="3">
        <f t="shared" si="19"/>
        <v>160000</v>
      </c>
      <c r="T87" s="3">
        <f t="shared" si="20"/>
        <v>16000</v>
      </c>
      <c r="U87" s="3">
        <f t="shared" si="21"/>
        <v>8000</v>
      </c>
      <c r="V87" s="3">
        <f t="shared" si="22"/>
        <v>64000</v>
      </c>
      <c r="W87" s="3">
        <f t="shared" si="36"/>
        <v>88000</v>
      </c>
      <c r="X87" s="3">
        <f t="shared" si="37"/>
        <v>184000</v>
      </c>
      <c r="Y87" s="3">
        <f t="shared" si="23"/>
        <v>248000</v>
      </c>
      <c r="Z87" s="2">
        <v>20</v>
      </c>
    </row>
    <row r="88" spans="1:27" x14ac:dyDescent="0.25">
      <c r="A88" s="2">
        <v>80</v>
      </c>
      <c r="B88" s="296" t="s">
        <v>223</v>
      </c>
      <c r="C88" s="2" t="s">
        <v>14</v>
      </c>
      <c r="D88" s="2" t="s">
        <v>84</v>
      </c>
      <c r="E88" s="2" t="s">
        <v>102</v>
      </c>
      <c r="F88" s="2" t="s">
        <v>102</v>
      </c>
      <c r="G88" s="2" t="s">
        <v>50</v>
      </c>
      <c r="H88" s="4"/>
      <c r="I88" s="51">
        <v>0</v>
      </c>
      <c r="J88" s="262">
        <v>0</v>
      </c>
      <c r="K88" s="264">
        <v>0</v>
      </c>
      <c r="L88" s="3">
        <v>170000</v>
      </c>
      <c r="M88" s="3">
        <f t="shared" si="16"/>
        <v>0</v>
      </c>
      <c r="N88" s="3">
        <f t="shared" si="17"/>
        <v>0</v>
      </c>
      <c r="O88" s="265">
        <f t="shared" si="18"/>
        <v>170000</v>
      </c>
      <c r="P88" s="3">
        <v>0</v>
      </c>
      <c r="Q88" s="3">
        <v>0</v>
      </c>
      <c r="R88" s="3">
        <v>0</v>
      </c>
      <c r="S88" s="3">
        <f t="shared" si="19"/>
        <v>170000</v>
      </c>
      <c r="T88" s="3">
        <f t="shared" si="20"/>
        <v>17000</v>
      </c>
      <c r="U88" s="3">
        <f t="shared" si="21"/>
        <v>8500</v>
      </c>
      <c r="V88" s="3">
        <f t="shared" si="22"/>
        <v>68000</v>
      </c>
      <c r="W88" s="3">
        <f t="shared" si="36"/>
        <v>93500</v>
      </c>
      <c r="X88" s="3">
        <f t="shared" si="37"/>
        <v>195500</v>
      </c>
      <c r="Y88" s="3">
        <f t="shared" si="23"/>
        <v>263500</v>
      </c>
      <c r="Z88" s="2">
        <v>20</v>
      </c>
    </row>
    <row r="89" spans="1:27" s="249" customFormat="1" x14ac:dyDescent="0.25">
      <c r="A89" s="245">
        <v>81</v>
      </c>
      <c r="B89" s="296" t="s">
        <v>435</v>
      </c>
      <c r="C89" s="245" t="s">
        <v>14</v>
      </c>
      <c r="D89" s="245" t="s">
        <v>434</v>
      </c>
      <c r="E89" s="2" t="s">
        <v>102</v>
      </c>
      <c r="F89" s="2" t="s">
        <v>102</v>
      </c>
      <c r="G89" s="245" t="s">
        <v>50</v>
      </c>
      <c r="H89" s="246"/>
      <c r="I89" s="51">
        <v>0</v>
      </c>
      <c r="J89" s="262">
        <v>0</v>
      </c>
      <c r="K89" s="264">
        <v>0</v>
      </c>
      <c r="L89" s="247">
        <v>260000</v>
      </c>
      <c r="M89" s="3">
        <f t="shared" si="16"/>
        <v>0</v>
      </c>
      <c r="N89" s="3">
        <f t="shared" si="17"/>
        <v>0</v>
      </c>
      <c r="O89" s="265">
        <f t="shared" si="18"/>
        <v>260000</v>
      </c>
      <c r="P89" s="247">
        <v>0</v>
      </c>
      <c r="Q89" s="247">
        <v>0</v>
      </c>
      <c r="R89" s="247">
        <v>0</v>
      </c>
      <c r="S89" s="3">
        <f t="shared" si="19"/>
        <v>260000</v>
      </c>
      <c r="T89" s="3">
        <f t="shared" si="20"/>
        <v>26000</v>
      </c>
      <c r="U89" s="3">
        <f t="shared" si="21"/>
        <v>13000</v>
      </c>
      <c r="V89" s="3">
        <f t="shared" si="22"/>
        <v>104000</v>
      </c>
      <c r="W89" s="247">
        <f t="shared" si="36"/>
        <v>143000</v>
      </c>
      <c r="X89" s="247">
        <f t="shared" si="37"/>
        <v>299000</v>
      </c>
      <c r="Y89" s="3">
        <f t="shared" si="23"/>
        <v>403000</v>
      </c>
      <c r="Z89" s="245">
        <v>30</v>
      </c>
      <c r="AA89" s="248"/>
    </row>
    <row r="90" spans="1:27" x14ac:dyDescent="0.25">
      <c r="A90" s="2">
        <v>82</v>
      </c>
      <c r="B90" s="296" t="s">
        <v>367</v>
      </c>
      <c r="C90" s="2" t="s">
        <v>14</v>
      </c>
      <c r="D90" s="2" t="s">
        <v>368</v>
      </c>
      <c r="E90" s="2" t="s">
        <v>102</v>
      </c>
      <c r="F90" s="2" t="s">
        <v>102</v>
      </c>
      <c r="G90" s="2" t="s">
        <v>50</v>
      </c>
      <c r="H90" s="4"/>
      <c r="I90" s="51">
        <v>0</v>
      </c>
      <c r="J90" s="262">
        <v>0</v>
      </c>
      <c r="K90" s="264">
        <v>0</v>
      </c>
      <c r="L90" s="3">
        <v>300000</v>
      </c>
      <c r="M90" s="3">
        <f t="shared" si="16"/>
        <v>0</v>
      </c>
      <c r="N90" s="3">
        <f t="shared" si="17"/>
        <v>0</v>
      </c>
      <c r="O90" s="265">
        <f t="shared" si="18"/>
        <v>300000</v>
      </c>
      <c r="P90" s="3">
        <v>0</v>
      </c>
      <c r="Q90" s="3">
        <v>0</v>
      </c>
      <c r="R90" s="3">
        <v>0</v>
      </c>
      <c r="S90" s="3">
        <f t="shared" si="19"/>
        <v>300000</v>
      </c>
      <c r="T90" s="3">
        <f t="shared" si="20"/>
        <v>30000</v>
      </c>
      <c r="U90" s="3">
        <f t="shared" si="21"/>
        <v>15000</v>
      </c>
      <c r="V90" s="3">
        <f t="shared" si="22"/>
        <v>120000</v>
      </c>
      <c r="W90" s="3">
        <f t="shared" si="36"/>
        <v>165000</v>
      </c>
      <c r="X90" s="3">
        <f t="shared" si="37"/>
        <v>345000</v>
      </c>
      <c r="Y90" s="3">
        <f t="shared" si="23"/>
        <v>465000</v>
      </c>
      <c r="Z90" s="2">
        <v>30</v>
      </c>
    </row>
    <row r="91" spans="1:27" hidden="1" x14ac:dyDescent="0.25">
      <c r="A91" s="2">
        <v>83</v>
      </c>
      <c r="B91" s="256" t="s">
        <v>252</v>
      </c>
      <c r="C91" s="2" t="s">
        <v>14</v>
      </c>
      <c r="D91" s="2" t="s">
        <v>104</v>
      </c>
      <c r="E91" s="2" t="s">
        <v>103</v>
      </c>
      <c r="F91" s="2" t="s">
        <v>103</v>
      </c>
      <c r="G91" s="2" t="s">
        <v>50</v>
      </c>
      <c r="H91" s="4"/>
      <c r="I91" s="51">
        <v>0</v>
      </c>
      <c r="J91" s="262">
        <v>0</v>
      </c>
      <c r="K91" s="264">
        <v>0</v>
      </c>
      <c r="L91" s="3">
        <f>56357+2000</f>
        <v>58357</v>
      </c>
      <c r="M91" s="3">
        <f t="shared" si="16"/>
        <v>0</v>
      </c>
      <c r="N91" s="3">
        <f t="shared" si="17"/>
        <v>0</v>
      </c>
      <c r="O91" s="265">
        <f t="shared" si="18"/>
        <v>58357</v>
      </c>
      <c r="P91" s="3">
        <v>1500</v>
      </c>
      <c r="Q91" s="3">
        <v>0</v>
      </c>
      <c r="R91" s="3">
        <v>0</v>
      </c>
      <c r="S91" s="3">
        <f t="shared" si="19"/>
        <v>59857</v>
      </c>
      <c r="T91" s="3">
        <f t="shared" si="20"/>
        <v>5985.7000000000007</v>
      </c>
      <c r="U91" s="3">
        <f t="shared" si="21"/>
        <v>2992.8500000000004</v>
      </c>
      <c r="V91" s="3">
        <f t="shared" si="22"/>
        <v>23942.800000000003</v>
      </c>
      <c r="W91" s="3">
        <f t="shared" si="36"/>
        <v>32921.350000000006</v>
      </c>
      <c r="X91" s="3">
        <f t="shared" si="37"/>
        <v>68835.55</v>
      </c>
      <c r="Y91" s="3">
        <f t="shared" si="23"/>
        <v>92778.35</v>
      </c>
      <c r="Z91" s="2">
        <v>10</v>
      </c>
    </row>
    <row r="92" spans="1:27" hidden="1" x14ac:dyDescent="0.25">
      <c r="A92" s="2">
        <v>84</v>
      </c>
      <c r="B92" s="256" t="s">
        <v>253</v>
      </c>
      <c r="C92" s="2" t="s">
        <v>14</v>
      </c>
      <c r="D92" s="2" t="s">
        <v>105</v>
      </c>
      <c r="E92" s="2" t="s">
        <v>103</v>
      </c>
      <c r="F92" s="2" t="s">
        <v>103</v>
      </c>
      <c r="G92" s="2" t="s">
        <v>50</v>
      </c>
      <c r="H92" s="4"/>
      <c r="I92" s="51">
        <v>0</v>
      </c>
      <c r="J92" s="262">
        <v>0</v>
      </c>
      <c r="K92" s="264">
        <v>0</v>
      </c>
      <c r="L92" s="3">
        <v>80000</v>
      </c>
      <c r="M92" s="3">
        <f t="shared" si="16"/>
        <v>0</v>
      </c>
      <c r="N92" s="3">
        <f t="shared" si="17"/>
        <v>0</v>
      </c>
      <c r="O92" s="265">
        <f t="shared" si="18"/>
        <v>80000</v>
      </c>
      <c r="P92" s="3">
        <v>1500</v>
      </c>
      <c r="Q92" s="3">
        <v>0</v>
      </c>
      <c r="R92" s="3">
        <v>0</v>
      </c>
      <c r="S92" s="3">
        <f t="shared" si="19"/>
        <v>81500</v>
      </c>
      <c r="T92" s="3">
        <f t="shared" si="20"/>
        <v>8150</v>
      </c>
      <c r="U92" s="3">
        <f t="shared" si="21"/>
        <v>4075</v>
      </c>
      <c r="V92" s="3">
        <f t="shared" si="22"/>
        <v>32600</v>
      </c>
      <c r="W92" s="3">
        <f t="shared" si="36"/>
        <v>44825</v>
      </c>
      <c r="X92" s="3">
        <f t="shared" si="37"/>
        <v>93725</v>
      </c>
      <c r="Y92" s="3">
        <f t="shared" si="23"/>
        <v>126325</v>
      </c>
      <c r="Z92" s="2">
        <v>10</v>
      </c>
    </row>
    <row r="93" spans="1:27" s="213" customFormat="1" hidden="1" x14ac:dyDescent="0.25">
      <c r="A93" s="2">
        <v>85</v>
      </c>
      <c r="B93" s="256" t="s">
        <v>254</v>
      </c>
      <c r="C93" s="209" t="s">
        <v>14</v>
      </c>
      <c r="D93" s="209" t="s">
        <v>106</v>
      </c>
      <c r="E93" s="2" t="s">
        <v>103</v>
      </c>
      <c r="F93" s="2" t="s">
        <v>103</v>
      </c>
      <c r="G93" s="209" t="s">
        <v>50</v>
      </c>
      <c r="H93" s="210"/>
      <c r="I93" s="51">
        <v>0</v>
      </c>
      <c r="J93" s="262">
        <v>0</v>
      </c>
      <c r="K93" s="264">
        <v>0</v>
      </c>
      <c r="L93" s="211">
        <v>91000</v>
      </c>
      <c r="M93" s="3">
        <f t="shared" si="16"/>
        <v>0</v>
      </c>
      <c r="N93" s="3">
        <f t="shared" si="17"/>
        <v>0</v>
      </c>
      <c r="O93" s="265">
        <f t="shared" si="18"/>
        <v>91000</v>
      </c>
      <c r="P93" s="211">
        <v>2200</v>
      </c>
      <c r="Q93" s="211">
        <v>0</v>
      </c>
      <c r="R93" s="211">
        <v>0</v>
      </c>
      <c r="S93" s="3">
        <f t="shared" si="19"/>
        <v>93200</v>
      </c>
      <c r="T93" s="3">
        <f t="shared" si="20"/>
        <v>9320</v>
      </c>
      <c r="U93" s="3">
        <f t="shared" si="21"/>
        <v>4660</v>
      </c>
      <c r="V93" s="3">
        <f t="shared" si="22"/>
        <v>37280</v>
      </c>
      <c r="W93" s="211">
        <f t="shared" si="36"/>
        <v>51260</v>
      </c>
      <c r="X93" s="211">
        <f t="shared" si="37"/>
        <v>107180</v>
      </c>
      <c r="Y93" s="3">
        <f t="shared" si="23"/>
        <v>144460</v>
      </c>
      <c r="Z93" s="2">
        <v>10</v>
      </c>
      <c r="AA93" s="212"/>
    </row>
    <row r="94" spans="1:27" s="213" customFormat="1" hidden="1" x14ac:dyDescent="0.25">
      <c r="A94" s="2">
        <v>86</v>
      </c>
      <c r="B94" s="256" t="s">
        <v>255</v>
      </c>
      <c r="C94" s="209" t="s">
        <v>14</v>
      </c>
      <c r="D94" s="209" t="s">
        <v>107</v>
      </c>
      <c r="E94" s="2" t="s">
        <v>103</v>
      </c>
      <c r="F94" s="2" t="s">
        <v>103</v>
      </c>
      <c r="G94" s="209" t="s">
        <v>50</v>
      </c>
      <c r="H94" s="210"/>
      <c r="I94" s="51">
        <v>0</v>
      </c>
      <c r="J94" s="262">
        <v>0</v>
      </c>
      <c r="K94" s="264">
        <v>0</v>
      </c>
      <c r="L94" s="211">
        <v>98000</v>
      </c>
      <c r="M94" s="3">
        <f t="shared" si="16"/>
        <v>0</v>
      </c>
      <c r="N94" s="3">
        <f t="shared" si="17"/>
        <v>0</v>
      </c>
      <c r="O94" s="265">
        <f t="shared" si="18"/>
        <v>98000</v>
      </c>
      <c r="P94" s="211">
        <v>2200</v>
      </c>
      <c r="Q94" s="211">
        <v>0</v>
      </c>
      <c r="R94" s="211">
        <v>0</v>
      </c>
      <c r="S94" s="3">
        <f t="shared" si="19"/>
        <v>100200</v>
      </c>
      <c r="T94" s="3">
        <f t="shared" si="20"/>
        <v>10020</v>
      </c>
      <c r="U94" s="3">
        <f t="shared" si="21"/>
        <v>5010</v>
      </c>
      <c r="V94" s="3">
        <f t="shared" si="22"/>
        <v>40080</v>
      </c>
      <c r="W94" s="211">
        <f t="shared" si="36"/>
        <v>55110</v>
      </c>
      <c r="X94" s="211">
        <f t="shared" si="37"/>
        <v>115230</v>
      </c>
      <c r="Y94" s="3">
        <f t="shared" si="23"/>
        <v>155310</v>
      </c>
      <c r="Z94" s="2">
        <v>10</v>
      </c>
      <c r="AA94" s="212"/>
    </row>
    <row r="95" spans="1:27" hidden="1" x14ac:dyDescent="0.25">
      <c r="A95" s="2">
        <v>87</v>
      </c>
      <c r="B95" s="256" t="s">
        <v>256</v>
      </c>
      <c r="C95" s="2" t="s">
        <v>14</v>
      </c>
      <c r="D95" s="2" t="s">
        <v>108</v>
      </c>
      <c r="E95" s="2" t="s">
        <v>103</v>
      </c>
      <c r="F95" s="2" t="s">
        <v>103</v>
      </c>
      <c r="G95" s="2" t="s">
        <v>50</v>
      </c>
      <c r="H95" s="4"/>
      <c r="I95" s="51">
        <v>0</v>
      </c>
      <c r="J95" s="262">
        <v>0</v>
      </c>
      <c r="K95" s="264">
        <v>0</v>
      </c>
      <c r="L95" s="3">
        <v>125000</v>
      </c>
      <c r="M95" s="3">
        <f t="shared" si="16"/>
        <v>0</v>
      </c>
      <c r="N95" s="3">
        <f t="shared" si="17"/>
        <v>0</v>
      </c>
      <c r="O95" s="265">
        <f t="shared" si="18"/>
        <v>125000</v>
      </c>
      <c r="P95" s="3">
        <v>2200</v>
      </c>
      <c r="Q95" s="3">
        <v>0</v>
      </c>
      <c r="R95" s="3">
        <v>0</v>
      </c>
      <c r="S95" s="3">
        <f t="shared" si="19"/>
        <v>127200</v>
      </c>
      <c r="T95" s="3">
        <f t="shared" si="20"/>
        <v>12720</v>
      </c>
      <c r="U95" s="3">
        <f t="shared" si="21"/>
        <v>6360</v>
      </c>
      <c r="V95" s="3">
        <f t="shared" si="22"/>
        <v>50880</v>
      </c>
      <c r="W95" s="3">
        <f t="shared" si="36"/>
        <v>69960</v>
      </c>
      <c r="X95" s="3">
        <f t="shared" si="37"/>
        <v>146280</v>
      </c>
      <c r="Y95" s="3">
        <f t="shared" si="23"/>
        <v>197160</v>
      </c>
      <c r="Z95" s="2">
        <v>20</v>
      </c>
    </row>
    <row r="96" spans="1:27" hidden="1" x14ac:dyDescent="0.25">
      <c r="A96" s="2">
        <v>88</v>
      </c>
      <c r="B96" s="256" t="s">
        <v>257</v>
      </c>
      <c r="C96" s="2" t="s">
        <v>14</v>
      </c>
      <c r="D96" s="2" t="s">
        <v>109</v>
      </c>
      <c r="E96" s="2" t="s">
        <v>103</v>
      </c>
      <c r="F96" s="2" t="s">
        <v>103</v>
      </c>
      <c r="G96" s="2" t="s">
        <v>50</v>
      </c>
      <c r="H96" s="4"/>
      <c r="I96" s="51">
        <v>0</v>
      </c>
      <c r="J96" s="262">
        <v>0</v>
      </c>
      <c r="K96" s="264">
        <v>0</v>
      </c>
      <c r="L96" s="3">
        <v>160000</v>
      </c>
      <c r="M96" s="3">
        <f t="shared" si="16"/>
        <v>0</v>
      </c>
      <c r="N96" s="3">
        <f t="shared" si="17"/>
        <v>0</v>
      </c>
      <c r="O96" s="265">
        <f t="shared" si="18"/>
        <v>160000</v>
      </c>
      <c r="P96" s="3">
        <v>2200</v>
      </c>
      <c r="Q96" s="3">
        <v>0</v>
      </c>
      <c r="R96" s="3">
        <v>0</v>
      </c>
      <c r="S96" s="3">
        <f t="shared" si="19"/>
        <v>162200</v>
      </c>
      <c r="T96" s="3">
        <f t="shared" si="20"/>
        <v>16220</v>
      </c>
      <c r="U96" s="3">
        <f t="shared" si="21"/>
        <v>8110</v>
      </c>
      <c r="V96" s="3">
        <f t="shared" si="22"/>
        <v>64880</v>
      </c>
      <c r="W96" s="3">
        <f t="shared" si="36"/>
        <v>89210</v>
      </c>
      <c r="X96" s="3">
        <f t="shared" si="37"/>
        <v>186530</v>
      </c>
      <c r="Y96" s="3">
        <f t="shared" si="23"/>
        <v>251410</v>
      </c>
      <c r="Z96" s="2">
        <v>20</v>
      </c>
    </row>
    <row r="97" spans="1:26" hidden="1" x14ac:dyDescent="0.25">
      <c r="A97" s="2">
        <v>89</v>
      </c>
      <c r="B97" s="256" t="s">
        <v>258</v>
      </c>
      <c r="C97" s="2" t="s">
        <v>14</v>
      </c>
      <c r="D97" s="2" t="s">
        <v>110</v>
      </c>
      <c r="E97" s="2" t="s">
        <v>103</v>
      </c>
      <c r="F97" s="2" t="s">
        <v>103</v>
      </c>
      <c r="G97" s="2" t="s">
        <v>50</v>
      </c>
      <c r="H97" s="4"/>
      <c r="I97" s="51">
        <v>0</v>
      </c>
      <c r="J97" s="262">
        <v>0</v>
      </c>
      <c r="K97" s="264">
        <v>0</v>
      </c>
      <c r="L97" s="3">
        <v>175000</v>
      </c>
      <c r="M97" s="3">
        <f t="shared" si="16"/>
        <v>0</v>
      </c>
      <c r="N97" s="3">
        <f t="shared" si="17"/>
        <v>0</v>
      </c>
      <c r="O97" s="265">
        <f t="shared" si="18"/>
        <v>175000</v>
      </c>
      <c r="P97" s="3">
        <v>2200</v>
      </c>
      <c r="Q97" s="3">
        <v>0</v>
      </c>
      <c r="R97" s="3">
        <v>0</v>
      </c>
      <c r="S97" s="3">
        <f t="shared" si="19"/>
        <v>177200</v>
      </c>
      <c r="T97" s="3">
        <f t="shared" si="20"/>
        <v>17720</v>
      </c>
      <c r="U97" s="3">
        <f t="shared" si="21"/>
        <v>8860</v>
      </c>
      <c r="V97" s="3">
        <f t="shared" si="22"/>
        <v>70880</v>
      </c>
      <c r="W97" s="3">
        <f t="shared" si="36"/>
        <v>97460</v>
      </c>
      <c r="X97" s="3">
        <f t="shared" si="37"/>
        <v>203780</v>
      </c>
      <c r="Y97" s="3">
        <f t="shared" si="23"/>
        <v>274660</v>
      </c>
      <c r="Z97" s="2">
        <v>20</v>
      </c>
    </row>
    <row r="98" spans="1:26" hidden="1" x14ac:dyDescent="0.25">
      <c r="A98" s="2">
        <v>90</v>
      </c>
      <c r="B98" s="256" t="s">
        <v>259</v>
      </c>
      <c r="C98" s="2" t="s">
        <v>14</v>
      </c>
      <c r="D98" s="2" t="s">
        <v>111</v>
      </c>
      <c r="E98" s="2" t="s">
        <v>103</v>
      </c>
      <c r="F98" s="2" t="s">
        <v>103</v>
      </c>
      <c r="G98" s="2" t="s">
        <v>50</v>
      </c>
      <c r="H98" s="4"/>
      <c r="I98" s="51">
        <v>0</v>
      </c>
      <c r="J98" s="262">
        <v>0</v>
      </c>
      <c r="K98" s="264">
        <v>0</v>
      </c>
      <c r="L98" s="3">
        <v>200000</v>
      </c>
      <c r="M98" s="3">
        <f t="shared" si="16"/>
        <v>0</v>
      </c>
      <c r="N98" s="3">
        <f t="shared" si="17"/>
        <v>0</v>
      </c>
      <c r="O98" s="265">
        <f t="shared" si="18"/>
        <v>200000</v>
      </c>
      <c r="P98" s="3">
        <v>2200</v>
      </c>
      <c r="Q98" s="3">
        <v>0</v>
      </c>
      <c r="R98" s="3">
        <v>0</v>
      </c>
      <c r="S98" s="3">
        <f t="shared" si="19"/>
        <v>202200</v>
      </c>
      <c r="T98" s="3">
        <f t="shared" si="20"/>
        <v>20220</v>
      </c>
      <c r="U98" s="3">
        <f t="shared" si="21"/>
        <v>10110</v>
      </c>
      <c r="V98" s="3">
        <f t="shared" si="22"/>
        <v>80880</v>
      </c>
      <c r="W98" s="3">
        <f t="shared" si="36"/>
        <v>111210</v>
      </c>
      <c r="X98" s="3">
        <f t="shared" si="37"/>
        <v>232530</v>
      </c>
      <c r="Y98" s="3">
        <f t="shared" si="23"/>
        <v>313410</v>
      </c>
      <c r="Z98" s="2">
        <v>20</v>
      </c>
    </row>
    <row r="99" spans="1:26" hidden="1" x14ac:dyDescent="0.25">
      <c r="A99" s="2">
        <v>91</v>
      </c>
      <c r="B99" s="256" t="s">
        <v>260</v>
      </c>
      <c r="C99" s="2" t="s">
        <v>14</v>
      </c>
      <c r="D99" s="2" t="s">
        <v>112</v>
      </c>
      <c r="E99" s="2" t="s">
        <v>103</v>
      </c>
      <c r="F99" s="2" t="s">
        <v>103</v>
      </c>
      <c r="G99" s="2" t="s">
        <v>50</v>
      </c>
      <c r="H99" s="4"/>
      <c r="I99" s="51">
        <v>0</v>
      </c>
      <c r="J99" s="262">
        <v>0</v>
      </c>
      <c r="K99" s="264">
        <v>0</v>
      </c>
      <c r="L99" s="3">
        <v>250000</v>
      </c>
      <c r="M99" s="3">
        <f t="shared" si="16"/>
        <v>0</v>
      </c>
      <c r="N99" s="3">
        <f t="shared" si="17"/>
        <v>0</v>
      </c>
      <c r="O99" s="265">
        <f t="shared" si="18"/>
        <v>250000</v>
      </c>
      <c r="P99" s="3">
        <v>2200</v>
      </c>
      <c r="Q99" s="3">
        <v>0</v>
      </c>
      <c r="R99" s="3">
        <v>0</v>
      </c>
      <c r="S99" s="3">
        <f t="shared" si="19"/>
        <v>252200</v>
      </c>
      <c r="T99" s="3">
        <f t="shared" si="20"/>
        <v>25220</v>
      </c>
      <c r="U99" s="3">
        <f t="shared" si="21"/>
        <v>12610</v>
      </c>
      <c r="V99" s="3">
        <f t="shared" si="22"/>
        <v>100880</v>
      </c>
      <c r="W99" s="3">
        <f t="shared" si="36"/>
        <v>138710</v>
      </c>
      <c r="X99" s="3">
        <f t="shared" si="37"/>
        <v>290030</v>
      </c>
      <c r="Y99" s="3">
        <f t="shared" si="23"/>
        <v>390910</v>
      </c>
      <c r="Z99" s="2">
        <v>20</v>
      </c>
    </row>
    <row r="100" spans="1:26" hidden="1" x14ac:dyDescent="0.25">
      <c r="A100" s="2">
        <v>92</v>
      </c>
      <c r="B100" s="256" t="s">
        <v>261</v>
      </c>
      <c r="C100" s="2" t="s">
        <v>14</v>
      </c>
      <c r="D100" s="2" t="s">
        <v>113</v>
      </c>
      <c r="E100" s="2" t="s">
        <v>103</v>
      </c>
      <c r="F100" s="2" t="s">
        <v>103</v>
      </c>
      <c r="G100" s="2" t="s">
        <v>50</v>
      </c>
      <c r="H100" s="4"/>
      <c r="I100" s="51">
        <v>0</v>
      </c>
      <c r="J100" s="262">
        <v>0</v>
      </c>
      <c r="K100" s="264">
        <v>0</v>
      </c>
      <c r="L100" s="3">
        <v>250000</v>
      </c>
      <c r="M100" s="3">
        <f t="shared" si="16"/>
        <v>0</v>
      </c>
      <c r="N100" s="3">
        <f t="shared" si="17"/>
        <v>0</v>
      </c>
      <c r="O100" s="265">
        <f t="shared" si="18"/>
        <v>250000</v>
      </c>
      <c r="P100" s="3">
        <v>2200</v>
      </c>
      <c r="Q100" s="3">
        <v>0</v>
      </c>
      <c r="R100" s="3">
        <v>0</v>
      </c>
      <c r="S100" s="3">
        <f t="shared" si="19"/>
        <v>252200</v>
      </c>
      <c r="T100" s="3">
        <f t="shared" si="20"/>
        <v>25220</v>
      </c>
      <c r="U100" s="3">
        <f t="shared" si="21"/>
        <v>12610</v>
      </c>
      <c r="V100" s="3">
        <f t="shared" si="22"/>
        <v>100880</v>
      </c>
      <c r="W100" s="3">
        <f t="shared" si="36"/>
        <v>138710</v>
      </c>
      <c r="X100" s="3">
        <f t="shared" si="37"/>
        <v>290030</v>
      </c>
      <c r="Y100" s="3">
        <f t="shared" si="23"/>
        <v>390910</v>
      </c>
      <c r="Z100" s="2">
        <v>20</v>
      </c>
    </row>
    <row r="101" spans="1:26" hidden="1" x14ac:dyDescent="0.25">
      <c r="A101" s="2">
        <v>93</v>
      </c>
      <c r="B101" s="256" t="s">
        <v>262</v>
      </c>
      <c r="C101" s="2" t="s">
        <v>14</v>
      </c>
      <c r="D101" s="2" t="s">
        <v>114</v>
      </c>
      <c r="E101" s="2" t="s">
        <v>103</v>
      </c>
      <c r="F101" s="2" t="s">
        <v>103</v>
      </c>
      <c r="G101" s="2" t="s">
        <v>50</v>
      </c>
      <c r="H101" s="4"/>
      <c r="I101" s="51">
        <v>0</v>
      </c>
      <c r="J101" s="262">
        <v>0</v>
      </c>
      <c r="K101" s="264">
        <v>0</v>
      </c>
      <c r="L101" s="3">
        <v>275000</v>
      </c>
      <c r="M101" s="3">
        <f t="shared" si="16"/>
        <v>0</v>
      </c>
      <c r="N101" s="3">
        <f t="shared" si="17"/>
        <v>0</v>
      </c>
      <c r="O101" s="265">
        <f t="shared" si="18"/>
        <v>275000</v>
      </c>
      <c r="P101" s="3">
        <v>2200</v>
      </c>
      <c r="Q101" s="3">
        <v>0</v>
      </c>
      <c r="R101" s="3">
        <v>0</v>
      </c>
      <c r="S101" s="3">
        <f t="shared" si="19"/>
        <v>277200</v>
      </c>
      <c r="T101" s="3">
        <f t="shared" si="20"/>
        <v>27720</v>
      </c>
      <c r="U101" s="3">
        <f t="shared" si="21"/>
        <v>13860</v>
      </c>
      <c r="V101" s="3">
        <f t="shared" si="22"/>
        <v>110880</v>
      </c>
      <c r="W101" s="3">
        <f t="shared" si="36"/>
        <v>152460</v>
      </c>
      <c r="X101" s="3">
        <f t="shared" si="37"/>
        <v>318780</v>
      </c>
      <c r="Y101" s="3">
        <f t="shared" si="23"/>
        <v>429660</v>
      </c>
      <c r="Z101" s="2">
        <v>20</v>
      </c>
    </row>
    <row r="102" spans="1:26" hidden="1" x14ac:dyDescent="0.25">
      <c r="A102" s="2">
        <v>94</v>
      </c>
      <c r="B102" s="256" t="s">
        <v>263</v>
      </c>
      <c r="C102" s="2" t="s">
        <v>14</v>
      </c>
      <c r="D102" s="2" t="s">
        <v>104</v>
      </c>
      <c r="E102" s="2" t="s">
        <v>103</v>
      </c>
      <c r="F102" s="2" t="s">
        <v>103</v>
      </c>
      <c r="G102" s="2" t="s">
        <v>50</v>
      </c>
      <c r="H102" s="4"/>
      <c r="I102" s="51">
        <v>0</v>
      </c>
      <c r="J102" s="262">
        <v>0</v>
      </c>
      <c r="K102" s="264">
        <v>0</v>
      </c>
      <c r="L102" s="3">
        <f>L91*0.9</f>
        <v>52521.3</v>
      </c>
      <c r="M102" s="3">
        <f t="shared" si="16"/>
        <v>0</v>
      </c>
      <c r="N102" s="3">
        <f t="shared" si="17"/>
        <v>0</v>
      </c>
      <c r="O102" s="265">
        <f t="shared" si="18"/>
        <v>52521.3</v>
      </c>
      <c r="P102" s="3">
        <v>1500</v>
      </c>
      <c r="Q102" s="3">
        <v>0</v>
      </c>
      <c r="R102" s="3">
        <v>0</v>
      </c>
      <c r="S102" s="3">
        <f t="shared" si="19"/>
        <v>54021.3</v>
      </c>
      <c r="T102" s="3">
        <f t="shared" si="20"/>
        <v>5402.130000000001</v>
      </c>
      <c r="U102" s="3">
        <f t="shared" si="21"/>
        <v>2701.0650000000005</v>
      </c>
      <c r="V102" s="3">
        <f t="shared" si="22"/>
        <v>21608.520000000004</v>
      </c>
      <c r="W102" s="3">
        <f t="shared" si="36"/>
        <v>29711.715000000004</v>
      </c>
      <c r="X102" s="3">
        <f t="shared" si="37"/>
        <v>62124.49500000001</v>
      </c>
      <c r="Y102" s="3">
        <f t="shared" si="23"/>
        <v>83733.015000000014</v>
      </c>
      <c r="Z102" s="2">
        <v>10</v>
      </c>
    </row>
    <row r="103" spans="1:26" hidden="1" x14ac:dyDescent="0.25">
      <c r="A103" s="2">
        <v>95</v>
      </c>
      <c r="B103" s="256" t="s">
        <v>264</v>
      </c>
      <c r="C103" s="2" t="s">
        <v>14</v>
      </c>
      <c r="D103" s="2" t="s">
        <v>105</v>
      </c>
      <c r="E103" s="2" t="s">
        <v>103</v>
      </c>
      <c r="F103" s="2" t="s">
        <v>103</v>
      </c>
      <c r="G103" s="2" t="s">
        <v>50</v>
      </c>
      <c r="H103" s="4"/>
      <c r="I103" s="51">
        <v>0</v>
      </c>
      <c r="J103" s="262">
        <v>0</v>
      </c>
      <c r="K103" s="264">
        <v>0</v>
      </c>
      <c r="L103" s="3">
        <f t="shared" ref="L103:L112" si="54">L92*0.9</f>
        <v>72000</v>
      </c>
      <c r="M103" s="3">
        <f t="shared" si="16"/>
        <v>0</v>
      </c>
      <c r="N103" s="3">
        <f t="shared" si="17"/>
        <v>0</v>
      </c>
      <c r="O103" s="265">
        <f t="shared" si="18"/>
        <v>72000</v>
      </c>
      <c r="P103" s="3">
        <v>1500</v>
      </c>
      <c r="Q103" s="3">
        <v>0</v>
      </c>
      <c r="R103" s="3">
        <v>0</v>
      </c>
      <c r="S103" s="3">
        <f t="shared" si="19"/>
        <v>73500</v>
      </c>
      <c r="T103" s="3">
        <f t="shared" si="20"/>
        <v>7350</v>
      </c>
      <c r="U103" s="3">
        <f t="shared" si="21"/>
        <v>3675</v>
      </c>
      <c r="V103" s="3">
        <f t="shared" si="22"/>
        <v>29400</v>
      </c>
      <c r="W103" s="3">
        <f t="shared" si="36"/>
        <v>40425</v>
      </c>
      <c r="X103" s="3">
        <f t="shared" si="37"/>
        <v>84525</v>
      </c>
      <c r="Y103" s="3">
        <f t="shared" si="23"/>
        <v>113925</v>
      </c>
      <c r="Z103" s="2">
        <v>10</v>
      </c>
    </row>
    <row r="104" spans="1:26" hidden="1" x14ac:dyDescent="0.25">
      <c r="A104" s="2">
        <v>96</v>
      </c>
      <c r="B104" s="256" t="s">
        <v>265</v>
      </c>
      <c r="C104" s="2" t="s">
        <v>14</v>
      </c>
      <c r="D104" s="2" t="s">
        <v>106</v>
      </c>
      <c r="E104" s="2" t="s">
        <v>103</v>
      </c>
      <c r="F104" s="2" t="s">
        <v>103</v>
      </c>
      <c r="G104" s="2" t="s">
        <v>50</v>
      </c>
      <c r="H104" s="4"/>
      <c r="I104" s="51">
        <v>0</v>
      </c>
      <c r="J104" s="262">
        <v>0</v>
      </c>
      <c r="K104" s="264">
        <v>0</v>
      </c>
      <c r="L104" s="3">
        <f t="shared" si="54"/>
        <v>81900</v>
      </c>
      <c r="M104" s="3">
        <f t="shared" si="16"/>
        <v>0</v>
      </c>
      <c r="N104" s="3">
        <f t="shared" si="17"/>
        <v>0</v>
      </c>
      <c r="O104" s="265">
        <f t="shared" si="18"/>
        <v>81900</v>
      </c>
      <c r="P104" s="3">
        <v>1500</v>
      </c>
      <c r="Q104" s="3">
        <v>0</v>
      </c>
      <c r="R104" s="3">
        <v>0</v>
      </c>
      <c r="S104" s="3">
        <f t="shared" si="19"/>
        <v>83400</v>
      </c>
      <c r="T104" s="3">
        <f t="shared" si="20"/>
        <v>8340</v>
      </c>
      <c r="U104" s="3">
        <f t="shared" si="21"/>
        <v>4170</v>
      </c>
      <c r="V104" s="3">
        <f t="shared" si="22"/>
        <v>33360</v>
      </c>
      <c r="W104" s="3">
        <f t="shared" si="36"/>
        <v>45870</v>
      </c>
      <c r="X104" s="3">
        <f t="shared" si="37"/>
        <v>95910</v>
      </c>
      <c r="Y104" s="3">
        <f t="shared" si="23"/>
        <v>129270</v>
      </c>
      <c r="Z104" s="2">
        <v>10</v>
      </c>
    </row>
    <row r="105" spans="1:26" hidden="1" x14ac:dyDescent="0.25">
      <c r="A105" s="2">
        <v>97</v>
      </c>
      <c r="B105" s="256" t="s">
        <v>266</v>
      </c>
      <c r="C105" s="2" t="s">
        <v>14</v>
      </c>
      <c r="D105" s="2" t="s">
        <v>107</v>
      </c>
      <c r="E105" s="2" t="s">
        <v>103</v>
      </c>
      <c r="F105" s="2" t="s">
        <v>103</v>
      </c>
      <c r="G105" s="2" t="s">
        <v>50</v>
      </c>
      <c r="H105" s="4"/>
      <c r="I105" s="51">
        <v>0</v>
      </c>
      <c r="J105" s="262">
        <v>0</v>
      </c>
      <c r="K105" s="264">
        <v>0</v>
      </c>
      <c r="L105" s="3">
        <f t="shared" si="54"/>
        <v>88200</v>
      </c>
      <c r="M105" s="3">
        <f t="shared" si="16"/>
        <v>0</v>
      </c>
      <c r="N105" s="3">
        <f t="shared" si="17"/>
        <v>0</v>
      </c>
      <c r="O105" s="265">
        <f t="shared" si="18"/>
        <v>88200</v>
      </c>
      <c r="P105" s="3">
        <v>1750</v>
      </c>
      <c r="Q105" s="3">
        <v>0</v>
      </c>
      <c r="R105" s="3">
        <v>0</v>
      </c>
      <c r="S105" s="3">
        <f t="shared" si="19"/>
        <v>89950</v>
      </c>
      <c r="T105" s="3">
        <f t="shared" si="20"/>
        <v>8995</v>
      </c>
      <c r="U105" s="3">
        <f t="shared" si="21"/>
        <v>4497.5</v>
      </c>
      <c r="V105" s="3">
        <f t="shared" si="22"/>
        <v>35980</v>
      </c>
      <c r="W105" s="3">
        <f t="shared" si="36"/>
        <v>49472.5</v>
      </c>
      <c r="X105" s="3">
        <f t="shared" si="37"/>
        <v>103442.5</v>
      </c>
      <c r="Y105" s="3">
        <f t="shared" si="23"/>
        <v>139422.5</v>
      </c>
      <c r="Z105" s="2">
        <v>10</v>
      </c>
    </row>
    <row r="106" spans="1:26" hidden="1" x14ac:dyDescent="0.25">
      <c r="A106" s="2">
        <v>98</v>
      </c>
      <c r="B106" s="256" t="s">
        <v>267</v>
      </c>
      <c r="C106" s="2" t="s">
        <v>14</v>
      </c>
      <c r="D106" s="2" t="s">
        <v>108</v>
      </c>
      <c r="E106" s="2" t="s">
        <v>103</v>
      </c>
      <c r="F106" s="2" t="s">
        <v>103</v>
      </c>
      <c r="G106" s="2" t="s">
        <v>50</v>
      </c>
      <c r="H106" s="4"/>
      <c r="I106" s="51">
        <v>0</v>
      </c>
      <c r="J106" s="262">
        <v>0</v>
      </c>
      <c r="K106" s="264">
        <v>0</v>
      </c>
      <c r="L106" s="3">
        <f t="shared" si="54"/>
        <v>112500</v>
      </c>
      <c r="M106" s="3">
        <f t="shared" si="16"/>
        <v>0</v>
      </c>
      <c r="N106" s="3">
        <f t="shared" si="17"/>
        <v>0</v>
      </c>
      <c r="O106" s="265">
        <f t="shared" si="18"/>
        <v>112500</v>
      </c>
      <c r="P106" s="3">
        <v>1750</v>
      </c>
      <c r="Q106" s="3">
        <v>0</v>
      </c>
      <c r="R106" s="3">
        <v>0</v>
      </c>
      <c r="S106" s="3">
        <f t="shared" si="19"/>
        <v>114250</v>
      </c>
      <c r="T106" s="3">
        <f t="shared" si="20"/>
        <v>11425</v>
      </c>
      <c r="U106" s="3">
        <f t="shared" si="21"/>
        <v>5712.5</v>
      </c>
      <c r="V106" s="3">
        <f t="shared" si="22"/>
        <v>45700</v>
      </c>
      <c r="W106" s="3">
        <f t="shared" si="36"/>
        <v>62837.5</v>
      </c>
      <c r="X106" s="3">
        <f t="shared" si="37"/>
        <v>131387.5</v>
      </c>
      <c r="Y106" s="3">
        <f t="shared" si="23"/>
        <v>177087.5</v>
      </c>
      <c r="Z106" s="2">
        <v>20</v>
      </c>
    </row>
    <row r="107" spans="1:26" hidden="1" x14ac:dyDescent="0.25">
      <c r="A107" s="2">
        <v>99</v>
      </c>
      <c r="B107" s="256" t="s">
        <v>268</v>
      </c>
      <c r="C107" s="2" t="s">
        <v>14</v>
      </c>
      <c r="D107" s="2" t="s">
        <v>109</v>
      </c>
      <c r="E107" s="2" t="s">
        <v>103</v>
      </c>
      <c r="F107" s="2" t="s">
        <v>103</v>
      </c>
      <c r="G107" s="2" t="s">
        <v>50</v>
      </c>
      <c r="H107" s="4"/>
      <c r="I107" s="51">
        <v>0</v>
      </c>
      <c r="J107" s="262">
        <v>0</v>
      </c>
      <c r="K107" s="264">
        <v>0</v>
      </c>
      <c r="L107" s="3">
        <f t="shared" si="54"/>
        <v>144000</v>
      </c>
      <c r="M107" s="3">
        <f t="shared" si="16"/>
        <v>0</v>
      </c>
      <c r="N107" s="3">
        <f t="shared" si="17"/>
        <v>0</v>
      </c>
      <c r="O107" s="265">
        <f t="shared" si="18"/>
        <v>144000</v>
      </c>
      <c r="P107" s="3">
        <v>1750</v>
      </c>
      <c r="Q107" s="3">
        <v>0</v>
      </c>
      <c r="R107" s="3">
        <v>0</v>
      </c>
      <c r="S107" s="3">
        <f t="shared" si="19"/>
        <v>145750</v>
      </c>
      <c r="T107" s="3">
        <f t="shared" si="20"/>
        <v>14575</v>
      </c>
      <c r="U107" s="3">
        <f t="shared" si="21"/>
        <v>7287.5</v>
      </c>
      <c r="V107" s="3">
        <f t="shared" si="22"/>
        <v>58300</v>
      </c>
      <c r="W107" s="3">
        <f t="shared" si="36"/>
        <v>80162.5</v>
      </c>
      <c r="X107" s="3">
        <f t="shared" si="37"/>
        <v>167612.5</v>
      </c>
      <c r="Y107" s="3">
        <f t="shared" si="23"/>
        <v>225912.5</v>
      </c>
      <c r="Z107" s="2">
        <v>20</v>
      </c>
    </row>
    <row r="108" spans="1:26" hidden="1" x14ac:dyDescent="0.25">
      <c r="A108" s="2">
        <v>100</v>
      </c>
      <c r="B108" s="256" t="s">
        <v>269</v>
      </c>
      <c r="C108" s="2" t="s">
        <v>14</v>
      </c>
      <c r="D108" s="2" t="s">
        <v>110</v>
      </c>
      <c r="E108" s="2" t="s">
        <v>103</v>
      </c>
      <c r="F108" s="2" t="s">
        <v>103</v>
      </c>
      <c r="G108" s="2" t="s">
        <v>50</v>
      </c>
      <c r="H108" s="4"/>
      <c r="I108" s="51">
        <v>0</v>
      </c>
      <c r="J108" s="262">
        <v>0</v>
      </c>
      <c r="K108" s="264">
        <v>0</v>
      </c>
      <c r="L108" s="3">
        <f t="shared" si="54"/>
        <v>157500</v>
      </c>
      <c r="M108" s="3">
        <f t="shared" si="16"/>
        <v>0</v>
      </c>
      <c r="N108" s="3">
        <f t="shared" si="17"/>
        <v>0</v>
      </c>
      <c r="O108" s="265">
        <f t="shared" si="18"/>
        <v>157500</v>
      </c>
      <c r="P108" s="3">
        <v>1750</v>
      </c>
      <c r="Q108" s="3">
        <v>0</v>
      </c>
      <c r="R108" s="3">
        <v>0</v>
      </c>
      <c r="S108" s="3">
        <f t="shared" si="19"/>
        <v>159250</v>
      </c>
      <c r="T108" s="3">
        <f t="shared" si="20"/>
        <v>15925</v>
      </c>
      <c r="U108" s="3">
        <f t="shared" si="21"/>
        <v>7962.5</v>
      </c>
      <c r="V108" s="3">
        <f t="shared" si="22"/>
        <v>63700</v>
      </c>
      <c r="W108" s="3">
        <f t="shared" si="36"/>
        <v>87587.5</v>
      </c>
      <c r="X108" s="3">
        <f t="shared" si="37"/>
        <v>183137.5</v>
      </c>
      <c r="Y108" s="3">
        <f t="shared" si="23"/>
        <v>246837.5</v>
      </c>
      <c r="Z108" s="2">
        <v>20</v>
      </c>
    </row>
    <row r="109" spans="1:26" hidden="1" x14ac:dyDescent="0.25">
      <c r="A109" s="2">
        <v>101</v>
      </c>
      <c r="B109" s="256" t="s">
        <v>270</v>
      </c>
      <c r="C109" s="2" t="s">
        <v>14</v>
      </c>
      <c r="D109" s="2" t="s">
        <v>111</v>
      </c>
      <c r="E109" s="2" t="s">
        <v>103</v>
      </c>
      <c r="F109" s="2" t="s">
        <v>103</v>
      </c>
      <c r="G109" s="2" t="s">
        <v>50</v>
      </c>
      <c r="H109" s="4"/>
      <c r="I109" s="51">
        <v>0</v>
      </c>
      <c r="J109" s="262">
        <v>0</v>
      </c>
      <c r="K109" s="264">
        <v>0</v>
      </c>
      <c r="L109" s="3">
        <f t="shared" si="54"/>
        <v>180000</v>
      </c>
      <c r="M109" s="3">
        <f t="shared" si="16"/>
        <v>0</v>
      </c>
      <c r="N109" s="3">
        <f t="shared" si="17"/>
        <v>0</v>
      </c>
      <c r="O109" s="265">
        <f t="shared" si="18"/>
        <v>180000</v>
      </c>
      <c r="P109" s="3">
        <v>1750</v>
      </c>
      <c r="Q109" s="3">
        <v>0</v>
      </c>
      <c r="R109" s="3">
        <v>0</v>
      </c>
      <c r="S109" s="3">
        <f t="shared" si="19"/>
        <v>181750</v>
      </c>
      <c r="T109" s="3">
        <f t="shared" si="20"/>
        <v>18175</v>
      </c>
      <c r="U109" s="3">
        <f t="shared" si="21"/>
        <v>9087.5</v>
      </c>
      <c r="V109" s="3">
        <f t="shared" si="22"/>
        <v>72700</v>
      </c>
      <c r="W109" s="3">
        <f t="shared" si="36"/>
        <v>99962.5</v>
      </c>
      <c r="X109" s="3">
        <f t="shared" si="37"/>
        <v>209012.5</v>
      </c>
      <c r="Y109" s="3">
        <f t="shared" si="23"/>
        <v>281712.5</v>
      </c>
      <c r="Z109" s="2">
        <v>20</v>
      </c>
    </row>
    <row r="110" spans="1:26" hidden="1" x14ac:dyDescent="0.25">
      <c r="A110" s="2">
        <v>102</v>
      </c>
      <c r="B110" s="256" t="s">
        <v>271</v>
      </c>
      <c r="C110" s="2" t="s">
        <v>14</v>
      </c>
      <c r="D110" s="2" t="s">
        <v>112</v>
      </c>
      <c r="E110" s="2" t="s">
        <v>103</v>
      </c>
      <c r="F110" s="2" t="s">
        <v>103</v>
      </c>
      <c r="G110" s="2" t="s">
        <v>50</v>
      </c>
      <c r="H110" s="4"/>
      <c r="I110" s="51">
        <v>0</v>
      </c>
      <c r="J110" s="262">
        <v>0</v>
      </c>
      <c r="K110" s="264">
        <v>0</v>
      </c>
      <c r="L110" s="3">
        <f t="shared" si="54"/>
        <v>225000</v>
      </c>
      <c r="M110" s="3">
        <f t="shared" si="16"/>
        <v>0</v>
      </c>
      <c r="N110" s="3">
        <f t="shared" si="17"/>
        <v>0</v>
      </c>
      <c r="O110" s="265">
        <v>210000</v>
      </c>
      <c r="P110" s="3">
        <v>1750</v>
      </c>
      <c r="Q110" s="3">
        <v>0</v>
      </c>
      <c r="R110" s="3">
        <v>0</v>
      </c>
      <c r="S110" s="3">
        <f t="shared" si="19"/>
        <v>211750</v>
      </c>
      <c r="T110" s="3">
        <f t="shared" si="20"/>
        <v>21175</v>
      </c>
      <c r="U110" s="3">
        <f t="shared" si="21"/>
        <v>10587.5</v>
      </c>
      <c r="V110" s="3">
        <f t="shared" si="22"/>
        <v>84700</v>
      </c>
      <c r="W110" s="3">
        <f t="shared" si="36"/>
        <v>116462.5</v>
      </c>
      <c r="X110" s="3">
        <f t="shared" si="37"/>
        <v>243512.5</v>
      </c>
      <c r="Y110" s="3">
        <f t="shared" si="23"/>
        <v>328212.5</v>
      </c>
      <c r="Z110" s="2">
        <v>20</v>
      </c>
    </row>
    <row r="111" spans="1:26" hidden="1" x14ac:dyDescent="0.25">
      <c r="A111" s="2">
        <v>103</v>
      </c>
      <c r="B111" s="256" t="s">
        <v>272</v>
      </c>
      <c r="C111" s="2" t="s">
        <v>14</v>
      </c>
      <c r="D111" s="2" t="s">
        <v>113</v>
      </c>
      <c r="E111" s="2" t="s">
        <v>103</v>
      </c>
      <c r="F111" s="2" t="s">
        <v>103</v>
      </c>
      <c r="G111" s="2" t="s">
        <v>50</v>
      </c>
      <c r="H111" s="4"/>
      <c r="I111" s="51">
        <v>0</v>
      </c>
      <c r="J111" s="262">
        <v>0</v>
      </c>
      <c r="K111" s="264">
        <v>0</v>
      </c>
      <c r="L111" s="3">
        <f t="shared" si="54"/>
        <v>225000</v>
      </c>
      <c r="M111" s="3">
        <f t="shared" si="16"/>
        <v>0</v>
      </c>
      <c r="N111" s="3">
        <f t="shared" si="17"/>
        <v>0</v>
      </c>
      <c r="O111" s="265">
        <v>230000</v>
      </c>
      <c r="P111" s="3">
        <v>1750</v>
      </c>
      <c r="Q111" s="3">
        <v>0</v>
      </c>
      <c r="R111" s="3">
        <v>0</v>
      </c>
      <c r="S111" s="3">
        <f t="shared" si="19"/>
        <v>231750</v>
      </c>
      <c r="T111" s="3">
        <f t="shared" si="20"/>
        <v>23175</v>
      </c>
      <c r="U111" s="3">
        <f t="shared" si="21"/>
        <v>11587.5</v>
      </c>
      <c r="V111" s="3">
        <f t="shared" si="22"/>
        <v>92700</v>
      </c>
      <c r="W111" s="3">
        <f t="shared" si="36"/>
        <v>127462.5</v>
      </c>
      <c r="X111" s="3">
        <f t="shared" si="37"/>
        <v>266512.5</v>
      </c>
      <c r="Y111" s="3">
        <f t="shared" si="23"/>
        <v>359212.5</v>
      </c>
      <c r="Z111" s="2">
        <v>20</v>
      </c>
    </row>
    <row r="112" spans="1:26" hidden="1" x14ac:dyDescent="0.25">
      <c r="A112" s="2">
        <v>104</v>
      </c>
      <c r="B112" s="256" t="s">
        <v>273</v>
      </c>
      <c r="C112" s="2" t="s">
        <v>14</v>
      </c>
      <c r="D112" s="2" t="s">
        <v>114</v>
      </c>
      <c r="E112" s="2" t="s">
        <v>103</v>
      </c>
      <c r="F112" s="2" t="s">
        <v>103</v>
      </c>
      <c r="G112" s="2" t="s">
        <v>50</v>
      </c>
      <c r="H112" s="4"/>
      <c r="I112" s="51">
        <v>0</v>
      </c>
      <c r="J112" s="262">
        <v>0</v>
      </c>
      <c r="K112" s="264">
        <v>0</v>
      </c>
      <c r="L112" s="3">
        <f t="shared" si="54"/>
        <v>247500</v>
      </c>
      <c r="M112" s="3">
        <f t="shared" si="16"/>
        <v>0</v>
      </c>
      <c r="N112" s="3">
        <f t="shared" si="17"/>
        <v>0</v>
      </c>
      <c r="O112" s="265">
        <f t="shared" si="18"/>
        <v>247500</v>
      </c>
      <c r="P112" s="3">
        <v>1750</v>
      </c>
      <c r="Q112" s="3">
        <v>0</v>
      </c>
      <c r="R112" s="3">
        <v>0</v>
      </c>
      <c r="S112" s="3">
        <f t="shared" si="19"/>
        <v>249250</v>
      </c>
      <c r="T112" s="3">
        <f t="shared" si="20"/>
        <v>24925</v>
      </c>
      <c r="U112" s="3">
        <f t="shared" si="21"/>
        <v>12462.5</v>
      </c>
      <c r="V112" s="3">
        <f t="shared" si="22"/>
        <v>99700</v>
      </c>
      <c r="W112" s="3">
        <f t="shared" si="36"/>
        <v>137087.5</v>
      </c>
      <c r="X112" s="3">
        <f t="shared" si="37"/>
        <v>286637.5</v>
      </c>
      <c r="Y112" s="3">
        <f t="shared" si="23"/>
        <v>386337.5</v>
      </c>
      <c r="Z112" s="2">
        <v>20</v>
      </c>
    </row>
    <row r="113" spans="1:27" hidden="1" x14ac:dyDescent="0.25">
      <c r="A113" s="2">
        <v>119</v>
      </c>
      <c r="B113" s="296" t="s">
        <v>224</v>
      </c>
      <c r="C113" s="2" t="s">
        <v>14</v>
      </c>
      <c r="D113" s="2" t="s">
        <v>75</v>
      </c>
      <c r="E113" s="2" t="s">
        <v>102</v>
      </c>
      <c r="F113" s="2" t="s">
        <v>102</v>
      </c>
      <c r="G113" s="2" t="s">
        <v>50</v>
      </c>
      <c r="H113" s="4"/>
      <c r="I113" s="51">
        <v>0</v>
      </c>
      <c r="J113" s="262">
        <v>0</v>
      </c>
      <c r="K113" s="264">
        <v>0</v>
      </c>
      <c r="L113" s="3">
        <v>0</v>
      </c>
      <c r="M113" s="3">
        <f t="shared" si="16"/>
        <v>0</v>
      </c>
      <c r="N113" s="3">
        <f t="shared" si="17"/>
        <v>0</v>
      </c>
      <c r="O113" s="265">
        <f t="shared" si="18"/>
        <v>0</v>
      </c>
      <c r="P113" s="3">
        <v>0</v>
      </c>
      <c r="Q113" s="3">
        <v>0</v>
      </c>
      <c r="R113" s="3">
        <v>0</v>
      </c>
      <c r="S113" s="3">
        <f t="shared" si="19"/>
        <v>0</v>
      </c>
      <c r="T113" s="3">
        <f t="shared" si="20"/>
        <v>0</v>
      </c>
      <c r="U113" s="3">
        <f t="shared" si="21"/>
        <v>0</v>
      </c>
      <c r="V113" s="3">
        <f t="shared" si="22"/>
        <v>0</v>
      </c>
      <c r="W113" s="3">
        <f t="shared" si="36"/>
        <v>0</v>
      </c>
      <c r="X113" s="3">
        <f t="shared" si="37"/>
        <v>0</v>
      </c>
      <c r="Y113" s="3">
        <f t="shared" si="23"/>
        <v>0</v>
      </c>
      <c r="Z113" s="2">
        <v>10</v>
      </c>
    </row>
    <row r="114" spans="1:27" hidden="1" x14ac:dyDescent="0.25">
      <c r="A114" s="2">
        <v>120</v>
      </c>
      <c r="B114" s="296" t="s">
        <v>225</v>
      </c>
      <c r="C114" s="2" t="s">
        <v>14</v>
      </c>
      <c r="D114" s="2" t="s">
        <v>76</v>
      </c>
      <c r="E114" s="2" t="s">
        <v>102</v>
      </c>
      <c r="F114" s="2" t="s">
        <v>102</v>
      </c>
      <c r="G114" s="2" t="s">
        <v>50</v>
      </c>
      <c r="H114" s="4"/>
      <c r="I114" s="51">
        <v>0</v>
      </c>
      <c r="J114" s="262">
        <v>0</v>
      </c>
      <c r="K114" s="264">
        <v>0</v>
      </c>
      <c r="L114" s="3">
        <v>0</v>
      </c>
      <c r="M114" s="3">
        <f t="shared" si="16"/>
        <v>0</v>
      </c>
      <c r="N114" s="3">
        <f t="shared" si="17"/>
        <v>0</v>
      </c>
      <c r="O114" s="265">
        <f t="shared" si="18"/>
        <v>0</v>
      </c>
      <c r="P114" s="3">
        <v>0</v>
      </c>
      <c r="Q114" s="3">
        <v>0</v>
      </c>
      <c r="R114" s="3">
        <v>0</v>
      </c>
      <c r="S114" s="3">
        <f t="shared" si="19"/>
        <v>0</v>
      </c>
      <c r="T114" s="3">
        <f t="shared" si="20"/>
        <v>0</v>
      </c>
      <c r="U114" s="3">
        <f t="shared" si="21"/>
        <v>0</v>
      </c>
      <c r="V114" s="3">
        <f t="shared" si="22"/>
        <v>0</v>
      </c>
      <c r="W114" s="3">
        <f t="shared" si="36"/>
        <v>0</v>
      </c>
      <c r="X114" s="3">
        <f t="shared" si="37"/>
        <v>0</v>
      </c>
      <c r="Y114" s="3">
        <f t="shared" si="23"/>
        <v>0</v>
      </c>
      <c r="Z114" s="2">
        <v>15</v>
      </c>
    </row>
    <row r="115" spans="1:27" hidden="1" x14ac:dyDescent="0.25">
      <c r="A115" s="2">
        <v>121</v>
      </c>
      <c r="B115" s="296" t="s">
        <v>226</v>
      </c>
      <c r="C115" s="2" t="s">
        <v>14</v>
      </c>
      <c r="D115" s="2" t="s">
        <v>77</v>
      </c>
      <c r="E115" s="2" t="s">
        <v>102</v>
      </c>
      <c r="F115" s="2" t="s">
        <v>102</v>
      </c>
      <c r="G115" s="2" t="s">
        <v>50</v>
      </c>
      <c r="H115" s="4"/>
      <c r="I115" s="51">
        <v>0</v>
      </c>
      <c r="J115" s="262">
        <v>0</v>
      </c>
      <c r="K115" s="264">
        <v>0</v>
      </c>
      <c r="L115" s="3">
        <v>60250</v>
      </c>
      <c r="M115" s="3">
        <f t="shared" si="16"/>
        <v>0</v>
      </c>
      <c r="N115" s="3">
        <f t="shared" si="17"/>
        <v>0</v>
      </c>
      <c r="O115" s="265">
        <f t="shared" si="18"/>
        <v>60250</v>
      </c>
      <c r="P115" s="3">
        <v>0</v>
      </c>
      <c r="Q115" s="3">
        <v>0</v>
      </c>
      <c r="R115" s="3">
        <v>0</v>
      </c>
      <c r="S115" s="3">
        <f t="shared" si="19"/>
        <v>60250</v>
      </c>
      <c r="T115" s="3">
        <f t="shared" si="20"/>
        <v>6025</v>
      </c>
      <c r="U115" s="3">
        <f t="shared" si="21"/>
        <v>3012.5</v>
      </c>
      <c r="V115" s="3">
        <f t="shared" si="22"/>
        <v>24100</v>
      </c>
      <c r="W115" s="3">
        <f t="shared" si="36"/>
        <v>33137.5</v>
      </c>
      <c r="X115" s="3">
        <f t="shared" si="37"/>
        <v>69287.5</v>
      </c>
      <c r="Y115" s="3">
        <f t="shared" si="23"/>
        <v>93387.5</v>
      </c>
      <c r="Z115" s="2">
        <v>15</v>
      </c>
    </row>
    <row r="116" spans="1:27" hidden="1" x14ac:dyDescent="0.25">
      <c r="A116" s="2">
        <v>122</v>
      </c>
      <c r="B116" s="296" t="s">
        <v>227</v>
      </c>
      <c r="C116" s="2" t="s">
        <v>14</v>
      </c>
      <c r="D116" s="2" t="s">
        <v>78</v>
      </c>
      <c r="E116" s="2" t="s">
        <v>102</v>
      </c>
      <c r="F116" s="2" t="s">
        <v>102</v>
      </c>
      <c r="G116" s="2" t="s">
        <v>50</v>
      </c>
      <c r="H116" s="4"/>
      <c r="I116" s="51">
        <v>0</v>
      </c>
      <c r="J116" s="262">
        <v>0</v>
      </c>
      <c r="K116" s="264">
        <v>0</v>
      </c>
      <c r="L116" s="3">
        <v>0</v>
      </c>
      <c r="M116" s="3">
        <f t="shared" si="16"/>
        <v>0</v>
      </c>
      <c r="N116" s="3">
        <f t="shared" si="17"/>
        <v>0</v>
      </c>
      <c r="O116" s="265">
        <f t="shared" si="18"/>
        <v>0</v>
      </c>
      <c r="P116" s="3">
        <v>0</v>
      </c>
      <c r="Q116" s="3">
        <v>0</v>
      </c>
      <c r="R116" s="3">
        <v>0</v>
      </c>
      <c r="S116" s="3">
        <f t="shared" si="19"/>
        <v>0</v>
      </c>
      <c r="T116" s="3">
        <f t="shared" si="20"/>
        <v>0</v>
      </c>
      <c r="U116" s="3">
        <f t="shared" si="21"/>
        <v>0</v>
      </c>
      <c r="V116" s="3">
        <f t="shared" si="22"/>
        <v>0</v>
      </c>
      <c r="W116" s="3">
        <f t="shared" si="36"/>
        <v>0</v>
      </c>
      <c r="X116" s="3">
        <f t="shared" si="37"/>
        <v>0</v>
      </c>
      <c r="Y116" s="3">
        <f t="shared" si="23"/>
        <v>0</v>
      </c>
      <c r="Z116" s="2">
        <v>15</v>
      </c>
    </row>
    <row r="117" spans="1:27" hidden="1" x14ac:dyDescent="0.25">
      <c r="A117" s="2">
        <v>123</v>
      </c>
      <c r="B117" s="296" t="s">
        <v>228</v>
      </c>
      <c r="C117" s="2" t="s">
        <v>14</v>
      </c>
      <c r="D117" s="2" t="s">
        <v>79</v>
      </c>
      <c r="E117" s="2" t="s">
        <v>102</v>
      </c>
      <c r="F117" s="2" t="s">
        <v>102</v>
      </c>
      <c r="G117" s="2" t="s">
        <v>50</v>
      </c>
      <c r="H117" s="4"/>
      <c r="I117" s="51">
        <v>0</v>
      </c>
      <c r="J117" s="262">
        <v>0</v>
      </c>
      <c r="K117" s="264">
        <v>0</v>
      </c>
      <c r="L117" s="3">
        <v>0</v>
      </c>
      <c r="M117" s="3">
        <f t="shared" si="16"/>
        <v>0</v>
      </c>
      <c r="N117" s="3">
        <f t="shared" si="17"/>
        <v>0</v>
      </c>
      <c r="O117" s="265">
        <f t="shared" si="18"/>
        <v>0</v>
      </c>
      <c r="P117" s="3">
        <v>0</v>
      </c>
      <c r="Q117" s="3">
        <v>0</v>
      </c>
      <c r="R117" s="3">
        <v>0</v>
      </c>
      <c r="S117" s="3">
        <f t="shared" si="19"/>
        <v>0</v>
      </c>
      <c r="T117" s="3">
        <f t="shared" si="20"/>
        <v>0</v>
      </c>
      <c r="U117" s="3">
        <f t="shared" si="21"/>
        <v>0</v>
      </c>
      <c r="V117" s="3">
        <f t="shared" si="22"/>
        <v>0</v>
      </c>
      <c r="W117" s="3">
        <f t="shared" si="36"/>
        <v>0</v>
      </c>
      <c r="X117" s="3">
        <f t="shared" si="37"/>
        <v>0</v>
      </c>
      <c r="Y117" s="3">
        <f t="shared" si="23"/>
        <v>0</v>
      </c>
      <c r="Z117" s="2">
        <v>15</v>
      </c>
    </row>
    <row r="118" spans="1:27" hidden="1" x14ac:dyDescent="0.25">
      <c r="A118" s="2">
        <v>124</v>
      </c>
      <c r="B118" s="296" t="s">
        <v>229</v>
      </c>
      <c r="C118" s="2" t="s">
        <v>14</v>
      </c>
      <c r="D118" s="2" t="s">
        <v>80</v>
      </c>
      <c r="E118" s="2" t="s">
        <v>102</v>
      </c>
      <c r="F118" s="2" t="s">
        <v>102</v>
      </c>
      <c r="G118" s="2" t="s">
        <v>50</v>
      </c>
      <c r="H118" s="4"/>
      <c r="I118" s="51">
        <v>0</v>
      </c>
      <c r="J118" s="262">
        <v>0</v>
      </c>
      <c r="K118" s="264">
        <v>0</v>
      </c>
      <c r="L118" s="3">
        <v>110000</v>
      </c>
      <c r="M118" s="3">
        <f t="shared" si="16"/>
        <v>0</v>
      </c>
      <c r="N118" s="3">
        <f t="shared" si="17"/>
        <v>0</v>
      </c>
      <c r="O118" s="265">
        <f t="shared" si="18"/>
        <v>110000</v>
      </c>
      <c r="P118" s="3">
        <v>0</v>
      </c>
      <c r="Q118" s="3">
        <v>0</v>
      </c>
      <c r="R118" s="3">
        <v>0</v>
      </c>
      <c r="S118" s="3">
        <f t="shared" si="19"/>
        <v>110000</v>
      </c>
      <c r="T118" s="3">
        <f t="shared" si="20"/>
        <v>11000</v>
      </c>
      <c r="U118" s="3">
        <f t="shared" si="21"/>
        <v>5500</v>
      </c>
      <c r="V118" s="3">
        <f t="shared" si="22"/>
        <v>44000</v>
      </c>
      <c r="W118" s="3">
        <f t="shared" si="36"/>
        <v>60500</v>
      </c>
      <c r="X118" s="3">
        <f t="shared" si="37"/>
        <v>126500</v>
      </c>
      <c r="Y118" s="3">
        <f t="shared" si="23"/>
        <v>170500</v>
      </c>
      <c r="Z118" s="2">
        <v>15</v>
      </c>
    </row>
    <row r="119" spans="1:27" hidden="1" x14ac:dyDescent="0.25">
      <c r="A119" s="2">
        <v>125</v>
      </c>
      <c r="B119" s="296" t="s">
        <v>301</v>
      </c>
      <c r="C119" s="2" t="s">
        <v>14</v>
      </c>
      <c r="D119" s="2" t="s">
        <v>302</v>
      </c>
      <c r="E119" s="2" t="s">
        <v>102</v>
      </c>
      <c r="F119" s="2" t="s">
        <v>102</v>
      </c>
      <c r="G119" s="2" t="s">
        <v>50</v>
      </c>
      <c r="H119" s="4"/>
      <c r="I119" s="51">
        <v>0</v>
      </c>
      <c r="J119" s="262">
        <v>0</v>
      </c>
      <c r="K119" s="264">
        <v>0</v>
      </c>
      <c r="L119" s="3">
        <v>118000</v>
      </c>
      <c r="M119" s="3">
        <f t="shared" ref="M119:M143" si="55">0.15*(I119*3.77+J119*4.3+K119*1.1)</f>
        <v>0</v>
      </c>
      <c r="N119" s="3">
        <f t="shared" ref="N119:N143" si="56">0.2*(I119*3.77+J119*4.3+K119*1.1)</f>
        <v>0</v>
      </c>
      <c r="O119" s="265">
        <f t="shared" ref="O119:O141" si="57">N119+M119+L119+1.1*K119+J119*4.3+I119*3.77</f>
        <v>118000</v>
      </c>
      <c r="P119" s="3">
        <v>0</v>
      </c>
      <c r="Q119" s="3">
        <v>0</v>
      </c>
      <c r="R119" s="3">
        <v>0</v>
      </c>
      <c r="S119" s="3">
        <f t="shared" ref="S119:S143" si="58">SUM(O119:R119)</f>
        <v>118000</v>
      </c>
      <c r="T119" s="3">
        <f t="shared" ref="T119:T143" si="59">0.1*S119</f>
        <v>11800</v>
      </c>
      <c r="U119" s="3">
        <f t="shared" ref="U119:U143" si="60">0.05*S119</f>
        <v>5900</v>
      </c>
      <c r="V119" s="3">
        <f t="shared" ref="V119:V143" si="61">0.4*S119</f>
        <v>47200</v>
      </c>
      <c r="W119" s="3">
        <f t="shared" si="36"/>
        <v>64900</v>
      </c>
      <c r="X119" s="3">
        <f t="shared" si="37"/>
        <v>135700</v>
      </c>
      <c r="Y119" s="3">
        <f t="shared" ref="Y119:Y143" si="62">(W119+S119)*(1-$AB$1)</f>
        <v>182900</v>
      </c>
      <c r="Z119" s="2">
        <v>15</v>
      </c>
    </row>
    <row r="120" spans="1:27" s="249" customFormat="1" hidden="1" x14ac:dyDescent="0.25">
      <c r="A120" s="245">
        <v>126</v>
      </c>
      <c r="B120" s="296" t="s">
        <v>230</v>
      </c>
      <c r="C120" s="245" t="s">
        <v>14</v>
      </c>
      <c r="D120" s="245" t="s">
        <v>81</v>
      </c>
      <c r="E120" s="2" t="s">
        <v>102</v>
      </c>
      <c r="F120" s="2" t="s">
        <v>102</v>
      </c>
      <c r="G120" s="245" t="s">
        <v>50</v>
      </c>
      <c r="H120" s="246"/>
      <c r="I120" s="51">
        <v>0</v>
      </c>
      <c r="J120" s="262">
        <v>0</v>
      </c>
      <c r="K120" s="264">
        <v>0</v>
      </c>
      <c r="L120" s="247">
        <v>130000</v>
      </c>
      <c r="M120" s="3">
        <f t="shared" si="55"/>
        <v>0</v>
      </c>
      <c r="N120" s="3">
        <f t="shared" si="56"/>
        <v>0</v>
      </c>
      <c r="O120" s="265">
        <f t="shared" si="57"/>
        <v>130000</v>
      </c>
      <c r="P120" s="247">
        <v>0</v>
      </c>
      <c r="Q120" s="247">
        <v>0</v>
      </c>
      <c r="R120" s="247">
        <v>0</v>
      </c>
      <c r="S120" s="3">
        <f t="shared" si="58"/>
        <v>130000</v>
      </c>
      <c r="T120" s="3">
        <f t="shared" si="59"/>
        <v>13000</v>
      </c>
      <c r="U120" s="3">
        <f t="shared" si="60"/>
        <v>6500</v>
      </c>
      <c r="V120" s="3">
        <f t="shared" si="61"/>
        <v>52000</v>
      </c>
      <c r="W120" s="247">
        <f t="shared" si="36"/>
        <v>71500</v>
      </c>
      <c r="X120" s="247">
        <f t="shared" si="37"/>
        <v>149500</v>
      </c>
      <c r="Y120" s="3">
        <f t="shared" si="62"/>
        <v>201500</v>
      </c>
      <c r="Z120" s="2">
        <v>15</v>
      </c>
      <c r="AA120" s="248"/>
    </row>
    <row r="121" spans="1:27" hidden="1" x14ac:dyDescent="0.25">
      <c r="A121" s="2">
        <v>127</v>
      </c>
      <c r="B121" s="296" t="s">
        <v>231</v>
      </c>
      <c r="C121" s="2" t="s">
        <v>14</v>
      </c>
      <c r="D121" s="2" t="s">
        <v>82</v>
      </c>
      <c r="E121" s="2" t="s">
        <v>102</v>
      </c>
      <c r="F121" s="2" t="s">
        <v>102</v>
      </c>
      <c r="G121" s="2" t="s">
        <v>50</v>
      </c>
      <c r="H121" s="4"/>
      <c r="I121" s="51">
        <v>0</v>
      </c>
      <c r="J121" s="262">
        <v>0</v>
      </c>
      <c r="K121" s="264">
        <v>0</v>
      </c>
      <c r="L121" s="3">
        <v>0</v>
      </c>
      <c r="M121" s="3">
        <f t="shared" si="55"/>
        <v>0</v>
      </c>
      <c r="N121" s="3">
        <f t="shared" si="56"/>
        <v>0</v>
      </c>
      <c r="O121" s="265">
        <f t="shared" si="57"/>
        <v>0</v>
      </c>
      <c r="P121" s="3">
        <v>0</v>
      </c>
      <c r="Q121" s="3">
        <v>0</v>
      </c>
      <c r="R121" s="3">
        <v>0</v>
      </c>
      <c r="S121" s="3">
        <f t="shared" si="58"/>
        <v>0</v>
      </c>
      <c r="T121" s="3">
        <f t="shared" si="59"/>
        <v>0</v>
      </c>
      <c r="U121" s="3">
        <f t="shared" si="60"/>
        <v>0</v>
      </c>
      <c r="V121" s="3">
        <f t="shared" si="61"/>
        <v>0</v>
      </c>
      <c r="W121" s="3">
        <f t="shared" si="36"/>
        <v>0</v>
      </c>
      <c r="X121" s="3">
        <f t="shared" si="37"/>
        <v>0</v>
      </c>
      <c r="Y121" s="3">
        <f t="shared" si="62"/>
        <v>0</v>
      </c>
      <c r="Z121" s="2">
        <v>15</v>
      </c>
    </row>
    <row r="122" spans="1:27" hidden="1" x14ac:dyDescent="0.25">
      <c r="A122" s="2">
        <v>128</v>
      </c>
      <c r="B122" s="296" t="s">
        <v>232</v>
      </c>
      <c r="C122" s="2" t="s">
        <v>14</v>
      </c>
      <c r="D122" s="2" t="s">
        <v>83</v>
      </c>
      <c r="E122" s="2" t="s">
        <v>102</v>
      </c>
      <c r="F122" s="2" t="s">
        <v>102</v>
      </c>
      <c r="G122" s="2" t="s">
        <v>50</v>
      </c>
      <c r="H122" s="4"/>
      <c r="I122" s="51">
        <v>0</v>
      </c>
      <c r="J122" s="262">
        <v>0</v>
      </c>
      <c r="K122" s="264">
        <v>0</v>
      </c>
      <c r="L122" s="3">
        <v>0</v>
      </c>
      <c r="M122" s="3">
        <f t="shared" si="55"/>
        <v>0</v>
      </c>
      <c r="N122" s="3">
        <f t="shared" si="56"/>
        <v>0</v>
      </c>
      <c r="O122" s="265">
        <f t="shared" si="57"/>
        <v>0</v>
      </c>
      <c r="P122" s="3">
        <v>0</v>
      </c>
      <c r="Q122" s="3">
        <v>0</v>
      </c>
      <c r="R122" s="3">
        <v>0</v>
      </c>
      <c r="S122" s="3">
        <f t="shared" si="58"/>
        <v>0</v>
      </c>
      <c r="T122" s="3">
        <f t="shared" si="59"/>
        <v>0</v>
      </c>
      <c r="U122" s="3">
        <f t="shared" si="60"/>
        <v>0</v>
      </c>
      <c r="V122" s="3">
        <f t="shared" si="61"/>
        <v>0</v>
      </c>
      <c r="W122" s="3">
        <f t="shared" si="36"/>
        <v>0</v>
      </c>
      <c r="X122" s="3">
        <f t="shared" si="37"/>
        <v>0</v>
      </c>
      <c r="Y122" s="3">
        <f t="shared" si="62"/>
        <v>0</v>
      </c>
      <c r="Z122" s="2">
        <v>20</v>
      </c>
    </row>
    <row r="123" spans="1:27" hidden="1" x14ac:dyDescent="0.25">
      <c r="A123" s="2">
        <v>129</v>
      </c>
      <c r="B123" s="296" t="s">
        <v>233</v>
      </c>
      <c r="C123" s="2" t="s">
        <v>14</v>
      </c>
      <c r="D123" s="2" t="s">
        <v>84</v>
      </c>
      <c r="E123" s="2" t="s">
        <v>102</v>
      </c>
      <c r="F123" s="2" t="s">
        <v>102</v>
      </c>
      <c r="G123" s="2" t="s">
        <v>50</v>
      </c>
      <c r="H123" s="4"/>
      <c r="I123" s="51">
        <v>0</v>
      </c>
      <c r="J123" s="262">
        <v>0</v>
      </c>
      <c r="K123" s="264">
        <v>0</v>
      </c>
      <c r="L123" s="3">
        <v>0</v>
      </c>
      <c r="M123" s="3">
        <f t="shared" si="55"/>
        <v>0</v>
      </c>
      <c r="N123" s="3">
        <f t="shared" si="56"/>
        <v>0</v>
      </c>
      <c r="O123" s="265">
        <f t="shared" si="57"/>
        <v>0</v>
      </c>
      <c r="P123" s="3">
        <v>0</v>
      </c>
      <c r="Q123" s="3">
        <v>0</v>
      </c>
      <c r="R123" s="3">
        <v>0</v>
      </c>
      <c r="S123" s="3">
        <f t="shared" si="58"/>
        <v>0</v>
      </c>
      <c r="T123" s="3">
        <f t="shared" si="59"/>
        <v>0</v>
      </c>
      <c r="U123" s="3">
        <f t="shared" si="60"/>
        <v>0</v>
      </c>
      <c r="V123" s="3">
        <f t="shared" si="61"/>
        <v>0</v>
      </c>
      <c r="W123" s="3">
        <f t="shared" si="36"/>
        <v>0</v>
      </c>
      <c r="X123" s="3">
        <f t="shared" si="37"/>
        <v>0</v>
      </c>
      <c r="Y123" s="3">
        <f t="shared" si="62"/>
        <v>0</v>
      </c>
      <c r="Z123" s="2">
        <v>20</v>
      </c>
    </row>
    <row r="124" spans="1:27" hidden="1" x14ac:dyDescent="0.25">
      <c r="A124" s="2">
        <v>130</v>
      </c>
      <c r="B124" s="296" t="s">
        <v>234</v>
      </c>
      <c r="C124" s="2" t="s">
        <v>14</v>
      </c>
      <c r="D124" s="2" t="s">
        <v>85</v>
      </c>
      <c r="E124" s="2" t="s">
        <v>102</v>
      </c>
      <c r="F124" s="2" t="s">
        <v>102</v>
      </c>
      <c r="G124" s="2" t="s">
        <v>50</v>
      </c>
      <c r="H124" s="4"/>
      <c r="I124" s="51">
        <v>0</v>
      </c>
      <c r="J124" s="262">
        <v>0</v>
      </c>
      <c r="K124" s="264">
        <v>0</v>
      </c>
      <c r="L124" s="3">
        <v>0</v>
      </c>
      <c r="M124" s="3">
        <f t="shared" si="55"/>
        <v>0</v>
      </c>
      <c r="N124" s="3">
        <f t="shared" si="56"/>
        <v>0</v>
      </c>
      <c r="O124" s="265">
        <f t="shared" si="57"/>
        <v>0</v>
      </c>
      <c r="P124" s="3">
        <v>0</v>
      </c>
      <c r="Q124" s="3">
        <v>0</v>
      </c>
      <c r="R124" s="3">
        <v>0</v>
      </c>
      <c r="S124" s="3">
        <f t="shared" si="58"/>
        <v>0</v>
      </c>
      <c r="T124" s="3">
        <f t="shared" si="59"/>
        <v>0</v>
      </c>
      <c r="U124" s="3">
        <f t="shared" si="60"/>
        <v>0</v>
      </c>
      <c r="V124" s="3">
        <f t="shared" si="61"/>
        <v>0</v>
      </c>
      <c r="W124" s="3">
        <f t="shared" si="36"/>
        <v>0</v>
      </c>
      <c r="X124" s="3">
        <f t="shared" si="37"/>
        <v>0</v>
      </c>
      <c r="Y124" s="3">
        <f t="shared" si="62"/>
        <v>0</v>
      </c>
      <c r="Z124" s="2">
        <v>20</v>
      </c>
    </row>
    <row r="125" spans="1:27" hidden="1" x14ac:dyDescent="0.25">
      <c r="A125" s="2">
        <v>131</v>
      </c>
      <c r="B125" s="296" t="s">
        <v>235</v>
      </c>
      <c r="C125" s="2" t="s">
        <v>14</v>
      </c>
      <c r="D125" s="2" t="s">
        <v>86</v>
      </c>
      <c r="E125" s="2" t="s">
        <v>102</v>
      </c>
      <c r="F125" s="2" t="s">
        <v>102</v>
      </c>
      <c r="G125" s="2" t="s">
        <v>50</v>
      </c>
      <c r="H125" s="4"/>
      <c r="I125" s="51">
        <v>0</v>
      </c>
      <c r="J125" s="262">
        <v>0</v>
      </c>
      <c r="K125" s="264">
        <v>0</v>
      </c>
      <c r="L125" s="3">
        <v>0</v>
      </c>
      <c r="M125" s="3">
        <f t="shared" si="55"/>
        <v>0</v>
      </c>
      <c r="N125" s="3">
        <f t="shared" si="56"/>
        <v>0</v>
      </c>
      <c r="O125" s="265">
        <f t="shared" si="57"/>
        <v>0</v>
      </c>
      <c r="P125" s="3">
        <v>0</v>
      </c>
      <c r="Q125" s="3">
        <v>0</v>
      </c>
      <c r="R125" s="3">
        <v>0</v>
      </c>
      <c r="S125" s="3">
        <f t="shared" si="58"/>
        <v>0</v>
      </c>
      <c r="T125" s="3">
        <f t="shared" si="59"/>
        <v>0</v>
      </c>
      <c r="U125" s="3">
        <f t="shared" si="60"/>
        <v>0</v>
      </c>
      <c r="V125" s="3">
        <f t="shared" si="61"/>
        <v>0</v>
      </c>
      <c r="W125" s="3">
        <f t="shared" si="36"/>
        <v>0</v>
      </c>
      <c r="X125" s="3">
        <f t="shared" si="37"/>
        <v>0</v>
      </c>
      <c r="Y125" s="3">
        <f t="shared" si="62"/>
        <v>0</v>
      </c>
      <c r="Z125" s="2">
        <v>20</v>
      </c>
    </row>
    <row r="126" spans="1:27" hidden="1" x14ac:dyDescent="0.25">
      <c r="A126" s="2">
        <v>132</v>
      </c>
      <c r="B126" s="296" t="s">
        <v>236</v>
      </c>
      <c r="C126" s="2" t="s">
        <v>14</v>
      </c>
      <c r="D126" s="2" t="s">
        <v>87</v>
      </c>
      <c r="E126" s="2" t="s">
        <v>102</v>
      </c>
      <c r="F126" s="2" t="s">
        <v>102</v>
      </c>
      <c r="G126" s="2" t="s">
        <v>50</v>
      </c>
      <c r="H126" s="4"/>
      <c r="I126" s="51">
        <v>0</v>
      </c>
      <c r="J126" s="262">
        <v>0</v>
      </c>
      <c r="K126" s="264">
        <v>0</v>
      </c>
      <c r="L126" s="3">
        <v>0</v>
      </c>
      <c r="M126" s="3">
        <f t="shared" si="55"/>
        <v>0</v>
      </c>
      <c r="N126" s="3">
        <f t="shared" si="56"/>
        <v>0</v>
      </c>
      <c r="O126" s="265">
        <f t="shared" si="57"/>
        <v>0</v>
      </c>
      <c r="P126" s="3">
        <v>0</v>
      </c>
      <c r="Q126" s="3">
        <v>0</v>
      </c>
      <c r="R126" s="3">
        <v>0</v>
      </c>
      <c r="S126" s="3">
        <f t="shared" si="58"/>
        <v>0</v>
      </c>
      <c r="T126" s="3">
        <f t="shared" si="59"/>
        <v>0</v>
      </c>
      <c r="U126" s="3">
        <f t="shared" si="60"/>
        <v>0</v>
      </c>
      <c r="V126" s="3">
        <f t="shared" si="61"/>
        <v>0</v>
      </c>
      <c r="W126" s="3">
        <f t="shared" si="36"/>
        <v>0</v>
      </c>
      <c r="X126" s="3">
        <f t="shared" si="37"/>
        <v>0</v>
      </c>
      <c r="Y126" s="3">
        <f t="shared" si="62"/>
        <v>0</v>
      </c>
      <c r="Z126" s="2">
        <v>30</v>
      </c>
    </row>
    <row r="127" spans="1:27" hidden="1" x14ac:dyDescent="0.25">
      <c r="A127" s="2">
        <v>172</v>
      </c>
      <c r="B127" s="296" t="s">
        <v>443</v>
      </c>
      <c r="C127" s="2" t="s">
        <v>14</v>
      </c>
      <c r="D127" s="2" t="s">
        <v>66</v>
      </c>
      <c r="E127" s="2" t="s">
        <v>102</v>
      </c>
      <c r="F127" s="2" t="s">
        <v>102</v>
      </c>
      <c r="G127" s="2" t="s">
        <v>50</v>
      </c>
      <c r="H127" s="4"/>
      <c r="I127" s="51">
        <v>0</v>
      </c>
      <c r="J127" s="262">
        <v>0</v>
      </c>
      <c r="K127" s="264">
        <v>0</v>
      </c>
      <c r="L127" s="3">
        <v>11000</v>
      </c>
      <c r="M127" s="3">
        <f t="shared" si="55"/>
        <v>0</v>
      </c>
      <c r="N127" s="3">
        <f t="shared" si="56"/>
        <v>0</v>
      </c>
      <c r="O127" s="265">
        <f t="shared" si="57"/>
        <v>11000</v>
      </c>
      <c r="P127" s="3">
        <v>0</v>
      </c>
      <c r="Q127" s="3">
        <v>0</v>
      </c>
      <c r="R127" s="3">
        <v>0</v>
      </c>
      <c r="S127" s="3">
        <f t="shared" si="58"/>
        <v>11000</v>
      </c>
      <c r="T127" s="3">
        <f t="shared" si="59"/>
        <v>1100</v>
      </c>
      <c r="U127" s="3">
        <f t="shared" si="60"/>
        <v>550</v>
      </c>
      <c r="V127" s="3">
        <f t="shared" si="61"/>
        <v>4400</v>
      </c>
      <c r="W127" s="3">
        <f t="shared" ref="W127:W145" si="63">SUM(T127:V127)</f>
        <v>6050</v>
      </c>
      <c r="X127" s="3">
        <f t="shared" ref="X127:X145" si="64">SUM(S127:U127)</f>
        <v>12650</v>
      </c>
      <c r="Y127" s="3">
        <f t="shared" si="62"/>
        <v>17050</v>
      </c>
      <c r="Z127" s="2">
        <v>5</v>
      </c>
    </row>
    <row r="128" spans="1:27" hidden="1" x14ac:dyDescent="0.25">
      <c r="A128" s="2">
        <v>173</v>
      </c>
      <c r="B128" s="296" t="s">
        <v>456</v>
      </c>
      <c r="C128" s="2" t="s">
        <v>14</v>
      </c>
      <c r="D128" s="2" t="s">
        <v>457</v>
      </c>
      <c r="E128" s="2" t="s">
        <v>102</v>
      </c>
      <c r="F128" s="2" t="s">
        <v>102</v>
      </c>
      <c r="G128" s="2" t="s">
        <v>50</v>
      </c>
      <c r="H128" s="4"/>
      <c r="I128" s="51">
        <v>0</v>
      </c>
      <c r="J128" s="262">
        <v>0</v>
      </c>
      <c r="K128" s="264">
        <v>0</v>
      </c>
      <c r="L128" s="3">
        <v>11500</v>
      </c>
      <c r="M128" s="3">
        <f t="shared" si="55"/>
        <v>0</v>
      </c>
      <c r="N128" s="3">
        <f t="shared" si="56"/>
        <v>0</v>
      </c>
      <c r="O128" s="265">
        <f t="shared" si="57"/>
        <v>11500</v>
      </c>
      <c r="P128" s="3">
        <v>0</v>
      </c>
      <c r="Q128" s="3">
        <v>0</v>
      </c>
      <c r="R128" s="3">
        <v>0</v>
      </c>
      <c r="S128" s="3">
        <f t="shared" si="58"/>
        <v>11500</v>
      </c>
      <c r="T128" s="3">
        <f t="shared" si="59"/>
        <v>1150</v>
      </c>
      <c r="U128" s="3">
        <f t="shared" si="60"/>
        <v>575</v>
      </c>
      <c r="V128" s="3">
        <f t="shared" si="61"/>
        <v>4600</v>
      </c>
      <c r="W128" s="3">
        <f t="shared" ref="W128" si="65">SUM(T128:V128)</f>
        <v>6325</v>
      </c>
      <c r="X128" s="3">
        <f t="shared" ref="X128" si="66">SUM(S128:U128)</f>
        <v>13225</v>
      </c>
      <c r="Y128" s="3">
        <f t="shared" si="62"/>
        <v>17825</v>
      </c>
      <c r="Z128" s="2">
        <v>5</v>
      </c>
    </row>
    <row r="129" spans="1:27" hidden="1" x14ac:dyDescent="0.25">
      <c r="A129" s="2">
        <v>174</v>
      </c>
      <c r="B129" s="296" t="s">
        <v>440</v>
      </c>
      <c r="C129" s="2" t="s">
        <v>14</v>
      </c>
      <c r="D129" s="2" t="s">
        <v>70</v>
      </c>
      <c r="E129" s="2" t="s">
        <v>102</v>
      </c>
      <c r="F129" s="2" t="s">
        <v>102</v>
      </c>
      <c r="G129" s="2" t="s">
        <v>50</v>
      </c>
      <c r="H129" s="4"/>
      <c r="I129" s="51">
        <v>0</v>
      </c>
      <c r="J129" s="262">
        <v>0</v>
      </c>
      <c r="K129" s="264">
        <v>0</v>
      </c>
      <c r="L129" s="3">
        <v>11000</v>
      </c>
      <c r="M129" s="3">
        <f t="shared" si="55"/>
        <v>0</v>
      </c>
      <c r="N129" s="3">
        <f t="shared" si="56"/>
        <v>0</v>
      </c>
      <c r="O129" s="265">
        <v>12000</v>
      </c>
      <c r="P129" s="3">
        <v>0</v>
      </c>
      <c r="Q129" s="3">
        <v>0</v>
      </c>
      <c r="R129" s="3">
        <v>0</v>
      </c>
      <c r="S129" s="3">
        <f t="shared" si="58"/>
        <v>12000</v>
      </c>
      <c r="T129" s="3">
        <f t="shared" si="59"/>
        <v>1200</v>
      </c>
      <c r="U129" s="3">
        <f t="shared" si="60"/>
        <v>600</v>
      </c>
      <c r="V129" s="3">
        <f t="shared" si="61"/>
        <v>4800</v>
      </c>
      <c r="W129" s="3">
        <f t="shared" si="63"/>
        <v>6600</v>
      </c>
      <c r="X129" s="3">
        <f t="shared" si="64"/>
        <v>13800</v>
      </c>
      <c r="Y129" s="3">
        <f t="shared" si="62"/>
        <v>18600</v>
      </c>
      <c r="Z129" s="2">
        <v>5</v>
      </c>
    </row>
    <row r="130" spans="1:27" hidden="1" x14ac:dyDescent="0.25">
      <c r="A130" s="2">
        <v>175</v>
      </c>
      <c r="B130" s="296" t="s">
        <v>458</v>
      </c>
      <c r="C130" s="2" t="s">
        <v>14</v>
      </c>
      <c r="D130" s="2" t="s">
        <v>459</v>
      </c>
      <c r="E130" s="2" t="s">
        <v>102</v>
      </c>
      <c r="F130" s="2" t="s">
        <v>102</v>
      </c>
      <c r="G130" s="2" t="s">
        <v>50</v>
      </c>
      <c r="H130" s="4"/>
      <c r="I130" s="51">
        <v>0</v>
      </c>
      <c r="J130" s="262">
        <v>0</v>
      </c>
      <c r="K130" s="264">
        <v>0</v>
      </c>
      <c r="L130" s="3">
        <v>14500</v>
      </c>
      <c r="M130" s="3">
        <f t="shared" si="55"/>
        <v>0</v>
      </c>
      <c r="N130" s="3">
        <f t="shared" si="56"/>
        <v>0</v>
      </c>
      <c r="O130" s="265">
        <f t="shared" si="57"/>
        <v>14500</v>
      </c>
      <c r="P130" s="3">
        <v>0</v>
      </c>
      <c r="Q130" s="3">
        <v>0</v>
      </c>
      <c r="R130" s="3">
        <v>0</v>
      </c>
      <c r="S130" s="3">
        <f t="shared" si="58"/>
        <v>14500</v>
      </c>
      <c r="T130" s="3">
        <f t="shared" si="59"/>
        <v>1450</v>
      </c>
      <c r="U130" s="3">
        <f t="shared" si="60"/>
        <v>725</v>
      </c>
      <c r="V130" s="3">
        <f t="shared" si="61"/>
        <v>5800</v>
      </c>
      <c r="W130" s="3">
        <f t="shared" ref="W130" si="67">SUM(T130:V130)</f>
        <v>7975</v>
      </c>
      <c r="X130" s="3">
        <f t="shared" ref="X130" si="68">SUM(S130:U130)</f>
        <v>16675</v>
      </c>
      <c r="Y130" s="3">
        <f t="shared" si="62"/>
        <v>22475</v>
      </c>
      <c r="Z130" s="2">
        <v>5</v>
      </c>
    </row>
    <row r="131" spans="1:27" hidden="1" x14ac:dyDescent="0.25">
      <c r="A131" s="2">
        <v>176</v>
      </c>
      <c r="B131" s="296" t="s">
        <v>515</v>
      </c>
      <c r="C131" s="2" t="s">
        <v>14</v>
      </c>
      <c r="D131" s="2" t="s">
        <v>298</v>
      </c>
      <c r="E131" s="2" t="s">
        <v>102</v>
      </c>
      <c r="F131" s="2" t="s">
        <v>102</v>
      </c>
      <c r="G131" s="2" t="s">
        <v>50</v>
      </c>
      <c r="H131" s="4"/>
      <c r="I131" s="51">
        <v>0</v>
      </c>
      <c r="J131" s="262">
        <v>0</v>
      </c>
      <c r="K131" s="264">
        <v>0</v>
      </c>
      <c r="L131" s="3">
        <v>23000</v>
      </c>
      <c r="M131" s="3">
        <f t="shared" si="55"/>
        <v>0</v>
      </c>
      <c r="N131" s="3">
        <f t="shared" si="56"/>
        <v>0</v>
      </c>
      <c r="O131" s="265">
        <f t="shared" si="57"/>
        <v>23000</v>
      </c>
      <c r="P131" s="3">
        <v>0</v>
      </c>
      <c r="Q131" s="3">
        <v>0</v>
      </c>
      <c r="R131" s="3">
        <v>0</v>
      </c>
      <c r="S131" s="3">
        <f t="shared" si="58"/>
        <v>23000</v>
      </c>
      <c r="T131" s="3">
        <f t="shared" si="59"/>
        <v>2300</v>
      </c>
      <c r="U131" s="3">
        <f t="shared" si="60"/>
        <v>1150</v>
      </c>
      <c r="V131" s="3">
        <f t="shared" si="61"/>
        <v>9200</v>
      </c>
      <c r="W131" s="3">
        <f t="shared" ref="W131" si="69">SUM(T131:V131)</f>
        <v>12650</v>
      </c>
      <c r="X131" s="3">
        <f t="shared" ref="X131" si="70">SUM(S131:U131)</f>
        <v>26450</v>
      </c>
      <c r="Y131" s="3">
        <f t="shared" si="62"/>
        <v>35650</v>
      </c>
      <c r="Z131" s="2">
        <v>5</v>
      </c>
    </row>
    <row r="132" spans="1:27" s="249" customFormat="1" hidden="1" x14ac:dyDescent="0.25">
      <c r="A132" s="245">
        <v>177</v>
      </c>
      <c r="B132" s="296" t="s">
        <v>237</v>
      </c>
      <c r="C132" s="245" t="s">
        <v>14</v>
      </c>
      <c r="D132" s="245" t="s">
        <v>75</v>
      </c>
      <c r="E132" s="2" t="s">
        <v>102</v>
      </c>
      <c r="F132" s="2" t="s">
        <v>102</v>
      </c>
      <c r="G132" s="245" t="s">
        <v>50</v>
      </c>
      <c r="H132" s="246"/>
      <c r="I132" s="51">
        <v>0</v>
      </c>
      <c r="J132" s="262">
        <v>0</v>
      </c>
      <c r="K132" s="264">
        <v>0</v>
      </c>
      <c r="L132" s="247">
        <v>30000</v>
      </c>
      <c r="M132" s="3">
        <f t="shared" si="55"/>
        <v>0</v>
      </c>
      <c r="N132" s="3">
        <f t="shared" si="56"/>
        <v>0</v>
      </c>
      <c r="O132" s="265">
        <f t="shared" si="57"/>
        <v>30000</v>
      </c>
      <c r="P132" s="247">
        <v>0</v>
      </c>
      <c r="Q132" s="247">
        <v>0</v>
      </c>
      <c r="R132" s="247">
        <v>0</v>
      </c>
      <c r="S132" s="3">
        <f t="shared" si="58"/>
        <v>30000</v>
      </c>
      <c r="T132" s="3">
        <f t="shared" si="59"/>
        <v>3000</v>
      </c>
      <c r="U132" s="3">
        <f t="shared" si="60"/>
        <v>1500</v>
      </c>
      <c r="V132" s="3">
        <f t="shared" si="61"/>
        <v>12000</v>
      </c>
      <c r="W132" s="247">
        <f t="shared" si="63"/>
        <v>16500</v>
      </c>
      <c r="X132" s="247">
        <f t="shared" si="64"/>
        <v>34500</v>
      </c>
      <c r="Y132" s="3">
        <f t="shared" si="62"/>
        <v>46500</v>
      </c>
      <c r="Z132" s="245">
        <v>10</v>
      </c>
      <c r="AA132" s="248"/>
    </row>
    <row r="133" spans="1:27" hidden="1" x14ac:dyDescent="0.25">
      <c r="A133" s="2"/>
      <c r="B133" s="296" t="s">
        <v>703</v>
      </c>
      <c r="C133" s="2" t="s">
        <v>14</v>
      </c>
      <c r="D133" s="2" t="s">
        <v>300</v>
      </c>
      <c r="E133" s="2" t="s">
        <v>102</v>
      </c>
      <c r="F133" s="2" t="s">
        <v>102</v>
      </c>
      <c r="G133" s="2" t="s">
        <v>50</v>
      </c>
      <c r="H133" s="4"/>
      <c r="I133" s="51">
        <v>0</v>
      </c>
      <c r="J133" s="262">
        <v>0</v>
      </c>
      <c r="K133" s="264">
        <v>0</v>
      </c>
      <c r="L133" s="244">
        <v>30000</v>
      </c>
      <c r="M133" s="3">
        <f t="shared" si="55"/>
        <v>0</v>
      </c>
      <c r="N133" s="3">
        <f t="shared" si="56"/>
        <v>0</v>
      </c>
      <c r="O133" s="265">
        <v>32000</v>
      </c>
      <c r="P133" s="3">
        <v>0</v>
      </c>
      <c r="Q133" s="3">
        <v>0</v>
      </c>
      <c r="R133" s="3">
        <v>0</v>
      </c>
      <c r="S133" s="3">
        <f t="shared" si="58"/>
        <v>32000</v>
      </c>
      <c r="T133" s="3">
        <f t="shared" si="59"/>
        <v>3200</v>
      </c>
      <c r="U133" s="3">
        <f t="shared" si="60"/>
        <v>1600</v>
      </c>
      <c r="V133" s="3">
        <f t="shared" si="61"/>
        <v>12800</v>
      </c>
      <c r="W133" s="3">
        <f t="shared" ref="W133" si="71">SUM(T133:V133)</f>
        <v>17600</v>
      </c>
      <c r="X133" s="3">
        <f t="shared" ref="X133" si="72">SUM(S133:U133)</f>
        <v>36800</v>
      </c>
      <c r="Y133" s="3">
        <f t="shared" si="62"/>
        <v>49600</v>
      </c>
      <c r="Z133" s="2">
        <v>15</v>
      </c>
    </row>
    <row r="134" spans="1:27" hidden="1" x14ac:dyDescent="0.25">
      <c r="A134" s="2">
        <v>178</v>
      </c>
      <c r="B134" s="296" t="s">
        <v>238</v>
      </c>
      <c r="C134" s="2" t="s">
        <v>14</v>
      </c>
      <c r="D134" s="2" t="s">
        <v>76</v>
      </c>
      <c r="E134" s="2" t="s">
        <v>102</v>
      </c>
      <c r="F134" s="2" t="s">
        <v>102</v>
      </c>
      <c r="G134" s="2" t="s">
        <v>50</v>
      </c>
      <c r="H134" s="4"/>
      <c r="I134" s="51">
        <v>0</v>
      </c>
      <c r="J134" s="262">
        <v>0</v>
      </c>
      <c r="K134" s="264">
        <v>0</v>
      </c>
      <c r="L134" s="3">
        <v>0</v>
      </c>
      <c r="M134" s="3">
        <f t="shared" si="55"/>
        <v>0</v>
      </c>
      <c r="N134" s="3">
        <f t="shared" si="56"/>
        <v>0</v>
      </c>
      <c r="O134" s="265">
        <v>35000</v>
      </c>
      <c r="P134" s="3">
        <v>0</v>
      </c>
      <c r="Q134" s="3">
        <v>0</v>
      </c>
      <c r="R134" s="3">
        <v>0</v>
      </c>
      <c r="S134" s="3">
        <f t="shared" si="58"/>
        <v>35000</v>
      </c>
      <c r="T134" s="3">
        <f t="shared" si="59"/>
        <v>3500</v>
      </c>
      <c r="U134" s="3">
        <f t="shared" si="60"/>
        <v>1750</v>
      </c>
      <c r="V134" s="3">
        <f t="shared" si="61"/>
        <v>14000</v>
      </c>
      <c r="W134" s="3">
        <f t="shared" si="63"/>
        <v>19250</v>
      </c>
      <c r="X134" s="3">
        <f t="shared" si="64"/>
        <v>40250</v>
      </c>
      <c r="Y134" s="3">
        <f t="shared" si="62"/>
        <v>54250</v>
      </c>
      <c r="Z134" s="2">
        <v>15</v>
      </c>
    </row>
    <row r="135" spans="1:27" hidden="1" x14ac:dyDescent="0.25">
      <c r="A135" s="2">
        <v>179</v>
      </c>
      <c r="B135" s="296" t="s">
        <v>239</v>
      </c>
      <c r="C135" s="2" t="s">
        <v>14</v>
      </c>
      <c r="D135" s="2" t="s">
        <v>77</v>
      </c>
      <c r="E135" s="2" t="s">
        <v>102</v>
      </c>
      <c r="F135" s="2" t="s">
        <v>102</v>
      </c>
      <c r="G135" s="2" t="s">
        <v>50</v>
      </c>
      <c r="H135" s="4"/>
      <c r="I135" s="51">
        <v>0</v>
      </c>
      <c r="J135" s="262">
        <v>0</v>
      </c>
      <c r="K135" s="264">
        <v>0</v>
      </c>
      <c r="L135" s="3">
        <v>0</v>
      </c>
      <c r="M135" s="3">
        <f t="shared" si="55"/>
        <v>0</v>
      </c>
      <c r="N135" s="3">
        <f t="shared" si="56"/>
        <v>0</v>
      </c>
      <c r="O135" s="265">
        <v>38000</v>
      </c>
      <c r="P135" s="3">
        <v>0</v>
      </c>
      <c r="Q135" s="3">
        <v>0</v>
      </c>
      <c r="R135" s="3">
        <v>0</v>
      </c>
      <c r="S135" s="3">
        <f t="shared" si="58"/>
        <v>38000</v>
      </c>
      <c r="T135" s="3">
        <f t="shared" si="59"/>
        <v>3800</v>
      </c>
      <c r="U135" s="3">
        <f t="shared" si="60"/>
        <v>1900</v>
      </c>
      <c r="V135" s="3">
        <f t="shared" si="61"/>
        <v>15200</v>
      </c>
      <c r="W135" s="3">
        <f t="shared" si="63"/>
        <v>20900</v>
      </c>
      <c r="X135" s="3">
        <f t="shared" si="64"/>
        <v>43700</v>
      </c>
      <c r="Y135" s="3">
        <f t="shared" si="62"/>
        <v>58900</v>
      </c>
      <c r="Z135" s="2">
        <v>15</v>
      </c>
    </row>
    <row r="136" spans="1:27" hidden="1" x14ac:dyDescent="0.25">
      <c r="A136" s="2">
        <v>180</v>
      </c>
      <c r="B136" s="296" t="s">
        <v>240</v>
      </c>
      <c r="C136" s="2" t="s">
        <v>14</v>
      </c>
      <c r="D136" s="2" t="s">
        <v>78</v>
      </c>
      <c r="E136" s="2" t="s">
        <v>102</v>
      </c>
      <c r="F136" s="2" t="s">
        <v>102</v>
      </c>
      <c r="G136" s="2" t="s">
        <v>50</v>
      </c>
      <c r="H136" s="4"/>
      <c r="I136" s="51">
        <v>0</v>
      </c>
      <c r="J136" s="262">
        <v>0</v>
      </c>
      <c r="K136" s="264">
        <v>0</v>
      </c>
      <c r="L136" s="3">
        <v>0</v>
      </c>
      <c r="M136" s="3">
        <f t="shared" si="55"/>
        <v>0</v>
      </c>
      <c r="N136" s="3">
        <f t="shared" si="56"/>
        <v>0</v>
      </c>
      <c r="O136" s="265">
        <v>40000</v>
      </c>
      <c r="P136" s="3">
        <v>0</v>
      </c>
      <c r="Q136" s="3">
        <v>0</v>
      </c>
      <c r="R136" s="3">
        <v>0</v>
      </c>
      <c r="S136" s="3">
        <f t="shared" si="58"/>
        <v>40000</v>
      </c>
      <c r="T136" s="3">
        <f t="shared" si="59"/>
        <v>4000</v>
      </c>
      <c r="U136" s="3">
        <f t="shared" si="60"/>
        <v>2000</v>
      </c>
      <c r="V136" s="3">
        <f t="shared" si="61"/>
        <v>16000</v>
      </c>
      <c r="W136" s="3">
        <f t="shared" si="63"/>
        <v>22000</v>
      </c>
      <c r="X136" s="3">
        <f t="shared" si="64"/>
        <v>46000</v>
      </c>
      <c r="Y136" s="3">
        <f t="shared" si="62"/>
        <v>62000</v>
      </c>
      <c r="Z136" s="2">
        <v>15</v>
      </c>
    </row>
    <row r="137" spans="1:27" hidden="1" x14ac:dyDescent="0.25">
      <c r="A137" s="2">
        <v>181</v>
      </c>
      <c r="B137" s="296" t="s">
        <v>241</v>
      </c>
      <c r="C137" s="2" t="s">
        <v>14</v>
      </c>
      <c r="D137" s="2" t="s">
        <v>79</v>
      </c>
      <c r="E137" s="2" t="s">
        <v>102</v>
      </c>
      <c r="F137" s="2" t="s">
        <v>102</v>
      </c>
      <c r="G137" s="2" t="s">
        <v>50</v>
      </c>
      <c r="H137" s="4"/>
      <c r="I137" s="51">
        <v>0</v>
      </c>
      <c r="J137" s="262">
        <v>0</v>
      </c>
      <c r="K137" s="264">
        <v>0</v>
      </c>
      <c r="L137" s="3">
        <v>0</v>
      </c>
      <c r="M137" s="3">
        <f t="shared" si="55"/>
        <v>0</v>
      </c>
      <c r="N137" s="3">
        <f t="shared" si="56"/>
        <v>0</v>
      </c>
      <c r="O137" s="265">
        <v>43000</v>
      </c>
      <c r="P137" s="3">
        <v>0</v>
      </c>
      <c r="Q137" s="3">
        <v>0</v>
      </c>
      <c r="R137" s="3">
        <v>0</v>
      </c>
      <c r="S137" s="3">
        <f t="shared" si="58"/>
        <v>43000</v>
      </c>
      <c r="T137" s="3">
        <f t="shared" si="59"/>
        <v>4300</v>
      </c>
      <c r="U137" s="3">
        <f t="shared" si="60"/>
        <v>2150</v>
      </c>
      <c r="V137" s="3">
        <f t="shared" si="61"/>
        <v>17200</v>
      </c>
      <c r="W137" s="3">
        <f t="shared" si="63"/>
        <v>23650</v>
      </c>
      <c r="X137" s="3">
        <f t="shared" si="64"/>
        <v>49450</v>
      </c>
      <c r="Y137" s="3">
        <f t="shared" si="62"/>
        <v>66650</v>
      </c>
      <c r="Z137" s="2">
        <v>15</v>
      </c>
    </row>
    <row r="138" spans="1:27" hidden="1" x14ac:dyDescent="0.25">
      <c r="A138" s="2">
        <v>182</v>
      </c>
      <c r="B138" s="296" t="s">
        <v>242</v>
      </c>
      <c r="C138" s="2" t="s">
        <v>14</v>
      </c>
      <c r="D138" s="2" t="s">
        <v>80</v>
      </c>
      <c r="E138" s="2" t="s">
        <v>102</v>
      </c>
      <c r="F138" s="2" t="s">
        <v>102</v>
      </c>
      <c r="G138" s="2" t="s">
        <v>50</v>
      </c>
      <c r="H138" s="4"/>
      <c r="I138" s="51">
        <v>0</v>
      </c>
      <c r="J138" s="262">
        <v>0</v>
      </c>
      <c r="K138" s="264">
        <v>0</v>
      </c>
      <c r="L138" s="244">
        <v>48000</v>
      </c>
      <c r="M138" s="3">
        <f t="shared" si="55"/>
        <v>0</v>
      </c>
      <c r="N138" s="3">
        <f t="shared" si="56"/>
        <v>0</v>
      </c>
      <c r="O138" s="265">
        <f t="shared" si="57"/>
        <v>48000</v>
      </c>
      <c r="P138" s="3">
        <v>0</v>
      </c>
      <c r="Q138" s="3">
        <v>0</v>
      </c>
      <c r="R138" s="3">
        <v>0</v>
      </c>
      <c r="S138" s="3">
        <f t="shared" si="58"/>
        <v>48000</v>
      </c>
      <c r="T138" s="3">
        <f t="shared" si="59"/>
        <v>4800</v>
      </c>
      <c r="U138" s="3">
        <f t="shared" si="60"/>
        <v>2400</v>
      </c>
      <c r="V138" s="3">
        <f t="shared" si="61"/>
        <v>19200</v>
      </c>
      <c r="W138" s="3">
        <f t="shared" si="63"/>
        <v>26400</v>
      </c>
      <c r="X138" s="3">
        <f t="shared" si="64"/>
        <v>55200</v>
      </c>
      <c r="Y138" s="3">
        <f t="shared" si="62"/>
        <v>74400</v>
      </c>
      <c r="Z138" s="2">
        <v>15</v>
      </c>
    </row>
    <row r="139" spans="1:27" hidden="1" x14ac:dyDescent="0.25">
      <c r="A139" s="2">
        <v>183</v>
      </c>
      <c r="B139" s="296" t="s">
        <v>243</v>
      </c>
      <c r="C139" s="2" t="s">
        <v>14</v>
      </c>
      <c r="D139" s="2" t="s">
        <v>81</v>
      </c>
      <c r="E139" s="2" t="s">
        <v>102</v>
      </c>
      <c r="F139" s="2" t="s">
        <v>102</v>
      </c>
      <c r="G139" s="2" t="s">
        <v>50</v>
      </c>
      <c r="H139" s="4"/>
      <c r="I139" s="51">
        <v>0</v>
      </c>
      <c r="J139" s="262">
        <v>0</v>
      </c>
      <c r="K139" s="264">
        <v>0</v>
      </c>
      <c r="L139" s="3">
        <v>78300</v>
      </c>
      <c r="M139" s="3">
        <f t="shared" si="55"/>
        <v>0</v>
      </c>
      <c r="N139" s="3">
        <f t="shared" si="56"/>
        <v>0</v>
      </c>
      <c r="O139" s="265">
        <f t="shared" si="57"/>
        <v>78300</v>
      </c>
      <c r="P139" s="3">
        <v>0</v>
      </c>
      <c r="Q139" s="3">
        <v>0</v>
      </c>
      <c r="R139" s="3">
        <v>0</v>
      </c>
      <c r="S139" s="3">
        <f t="shared" si="58"/>
        <v>78300</v>
      </c>
      <c r="T139" s="3">
        <f t="shared" si="59"/>
        <v>7830</v>
      </c>
      <c r="U139" s="3">
        <f t="shared" si="60"/>
        <v>3915</v>
      </c>
      <c r="V139" s="3">
        <f t="shared" si="61"/>
        <v>31320</v>
      </c>
      <c r="W139" s="3">
        <f t="shared" si="63"/>
        <v>43065</v>
      </c>
      <c r="X139" s="3">
        <f t="shared" si="64"/>
        <v>90045</v>
      </c>
      <c r="Y139" s="3">
        <f t="shared" si="62"/>
        <v>121365</v>
      </c>
      <c r="Z139" s="2">
        <v>15</v>
      </c>
    </row>
    <row r="140" spans="1:27" hidden="1" x14ac:dyDescent="0.25">
      <c r="A140" s="2">
        <v>184</v>
      </c>
      <c r="B140" s="296" t="s">
        <v>244</v>
      </c>
      <c r="C140" s="2" t="s">
        <v>14</v>
      </c>
      <c r="D140" s="2" t="s">
        <v>82</v>
      </c>
      <c r="E140" s="2" t="s">
        <v>102</v>
      </c>
      <c r="F140" s="2" t="s">
        <v>102</v>
      </c>
      <c r="G140" s="2" t="s">
        <v>50</v>
      </c>
      <c r="H140" s="4"/>
      <c r="I140" s="51">
        <v>0</v>
      </c>
      <c r="J140" s="262">
        <v>0</v>
      </c>
      <c r="K140" s="264">
        <v>0</v>
      </c>
      <c r="L140" s="3">
        <v>0</v>
      </c>
      <c r="M140" s="3">
        <f t="shared" si="55"/>
        <v>0</v>
      </c>
      <c r="N140" s="3">
        <f t="shared" si="56"/>
        <v>0</v>
      </c>
      <c r="O140" s="265">
        <v>85000</v>
      </c>
      <c r="P140" s="3">
        <v>0</v>
      </c>
      <c r="Q140" s="3">
        <v>0</v>
      </c>
      <c r="R140" s="3">
        <v>0</v>
      </c>
      <c r="S140" s="3">
        <f t="shared" si="58"/>
        <v>85000</v>
      </c>
      <c r="T140" s="3">
        <f t="shared" si="59"/>
        <v>8500</v>
      </c>
      <c r="U140" s="3">
        <f t="shared" si="60"/>
        <v>4250</v>
      </c>
      <c r="V140" s="3">
        <f t="shared" si="61"/>
        <v>34000</v>
      </c>
      <c r="W140" s="3">
        <f t="shared" si="63"/>
        <v>46750</v>
      </c>
      <c r="X140" s="3">
        <f t="shared" si="64"/>
        <v>97750</v>
      </c>
      <c r="Y140" s="3">
        <f t="shared" si="62"/>
        <v>131750</v>
      </c>
      <c r="Z140" s="2">
        <v>15</v>
      </c>
    </row>
    <row r="141" spans="1:27" hidden="1" x14ac:dyDescent="0.25">
      <c r="A141" s="2">
        <v>185</v>
      </c>
      <c r="B141" s="296" t="s">
        <v>245</v>
      </c>
      <c r="C141" s="2" t="s">
        <v>14</v>
      </c>
      <c r="D141" s="2" t="s">
        <v>83</v>
      </c>
      <c r="E141" s="2" t="s">
        <v>102</v>
      </c>
      <c r="F141" s="2" t="s">
        <v>102</v>
      </c>
      <c r="G141" s="2" t="s">
        <v>50</v>
      </c>
      <c r="H141" s="4"/>
      <c r="I141" s="51">
        <v>0</v>
      </c>
      <c r="J141" s="262">
        <v>0</v>
      </c>
      <c r="K141" s="264">
        <v>0</v>
      </c>
      <c r="L141" s="3">
        <v>90000</v>
      </c>
      <c r="M141" s="3">
        <f t="shared" si="55"/>
        <v>0</v>
      </c>
      <c r="N141" s="3">
        <f t="shared" si="56"/>
        <v>0</v>
      </c>
      <c r="O141" s="265">
        <f t="shared" si="57"/>
        <v>90000</v>
      </c>
      <c r="P141" s="3">
        <v>0</v>
      </c>
      <c r="Q141" s="3">
        <v>0</v>
      </c>
      <c r="R141" s="3">
        <v>0</v>
      </c>
      <c r="S141" s="3">
        <f t="shared" si="58"/>
        <v>90000</v>
      </c>
      <c r="T141" s="3">
        <f t="shared" si="59"/>
        <v>9000</v>
      </c>
      <c r="U141" s="3">
        <f t="shared" si="60"/>
        <v>4500</v>
      </c>
      <c r="V141" s="3">
        <f t="shared" si="61"/>
        <v>36000</v>
      </c>
      <c r="W141" s="3">
        <f t="shared" si="63"/>
        <v>49500</v>
      </c>
      <c r="X141" s="3">
        <f t="shared" si="64"/>
        <v>103500</v>
      </c>
      <c r="Y141" s="3">
        <f t="shared" si="62"/>
        <v>139500</v>
      </c>
      <c r="Z141" s="2">
        <v>20</v>
      </c>
    </row>
    <row r="142" spans="1:27" hidden="1" x14ac:dyDescent="0.25">
      <c r="A142" s="2">
        <v>186</v>
      </c>
      <c r="B142" s="296" t="s">
        <v>246</v>
      </c>
      <c r="C142" s="2" t="s">
        <v>14</v>
      </c>
      <c r="D142" s="2" t="s">
        <v>84</v>
      </c>
      <c r="E142" s="2" t="s">
        <v>102</v>
      </c>
      <c r="F142" s="2" t="s">
        <v>102</v>
      </c>
      <c r="G142" s="2" t="s">
        <v>50</v>
      </c>
      <c r="H142" s="4"/>
      <c r="I142" s="51">
        <v>0</v>
      </c>
      <c r="J142" s="262">
        <v>0</v>
      </c>
      <c r="K142" s="264">
        <v>0</v>
      </c>
      <c r="L142" s="3">
        <v>0</v>
      </c>
      <c r="M142" s="3">
        <f t="shared" si="55"/>
        <v>0</v>
      </c>
      <c r="N142" s="3">
        <f t="shared" si="56"/>
        <v>0</v>
      </c>
      <c r="O142" s="265">
        <v>100000</v>
      </c>
      <c r="P142" s="3">
        <v>0</v>
      </c>
      <c r="Q142" s="3">
        <v>0</v>
      </c>
      <c r="R142" s="3">
        <v>0</v>
      </c>
      <c r="S142" s="3">
        <f t="shared" si="58"/>
        <v>100000</v>
      </c>
      <c r="T142" s="3">
        <f t="shared" si="59"/>
        <v>10000</v>
      </c>
      <c r="U142" s="3">
        <f t="shared" si="60"/>
        <v>5000</v>
      </c>
      <c r="V142" s="3">
        <f t="shared" si="61"/>
        <v>40000</v>
      </c>
      <c r="W142" s="3">
        <f t="shared" si="63"/>
        <v>55000</v>
      </c>
      <c r="X142" s="3">
        <f t="shared" si="64"/>
        <v>115000</v>
      </c>
      <c r="Y142" s="3">
        <f t="shared" si="62"/>
        <v>155000</v>
      </c>
      <c r="Z142" s="2">
        <v>20</v>
      </c>
    </row>
    <row r="143" spans="1:27" hidden="1" x14ac:dyDescent="0.25">
      <c r="A143" s="2">
        <v>187</v>
      </c>
      <c r="B143" s="296" t="s">
        <v>247</v>
      </c>
      <c r="C143" s="2" t="s">
        <v>14</v>
      </c>
      <c r="D143" s="2" t="s">
        <v>85</v>
      </c>
      <c r="E143" s="2" t="s">
        <v>102</v>
      </c>
      <c r="F143" s="2" t="s">
        <v>102</v>
      </c>
      <c r="G143" s="2" t="s">
        <v>50</v>
      </c>
      <c r="H143" s="4"/>
      <c r="I143" s="51">
        <v>0</v>
      </c>
      <c r="J143" s="262">
        <v>0</v>
      </c>
      <c r="K143" s="264">
        <v>0</v>
      </c>
      <c r="L143" s="244">
        <v>85000</v>
      </c>
      <c r="M143" s="3">
        <f t="shared" si="55"/>
        <v>0</v>
      </c>
      <c r="N143" s="3">
        <f t="shared" si="56"/>
        <v>0</v>
      </c>
      <c r="O143" s="265">
        <v>105000</v>
      </c>
      <c r="P143" s="3">
        <v>0</v>
      </c>
      <c r="Q143" s="3">
        <v>0</v>
      </c>
      <c r="R143" s="3">
        <v>0</v>
      </c>
      <c r="S143" s="3">
        <f t="shared" si="58"/>
        <v>105000</v>
      </c>
      <c r="T143" s="3">
        <f t="shared" si="59"/>
        <v>10500</v>
      </c>
      <c r="U143" s="3">
        <f t="shared" si="60"/>
        <v>5250</v>
      </c>
      <c r="V143" s="3">
        <f t="shared" si="61"/>
        <v>42000</v>
      </c>
      <c r="W143" s="3">
        <f t="shared" si="63"/>
        <v>57750</v>
      </c>
      <c r="X143" s="3">
        <f t="shared" si="64"/>
        <v>120750</v>
      </c>
      <c r="Y143" s="3">
        <f t="shared" si="62"/>
        <v>162750</v>
      </c>
      <c r="Z143" s="2">
        <v>20</v>
      </c>
    </row>
    <row r="144" spans="1:27" hidden="1" x14ac:dyDescent="0.25">
      <c r="A144" s="2">
        <v>188</v>
      </c>
      <c r="B144" s="296" t="s">
        <v>248</v>
      </c>
      <c r="C144" s="2" t="s">
        <v>14</v>
      </c>
      <c r="D144" s="2" t="s">
        <v>86</v>
      </c>
      <c r="E144" s="2" t="s">
        <v>102</v>
      </c>
      <c r="F144" s="2" t="s">
        <v>102</v>
      </c>
      <c r="G144" s="2" t="s">
        <v>50</v>
      </c>
      <c r="H144" s="4"/>
      <c r="I144" s="51">
        <v>0</v>
      </c>
      <c r="J144" s="262">
        <v>0</v>
      </c>
      <c r="K144" s="264">
        <v>0</v>
      </c>
      <c r="L144" s="3">
        <v>0</v>
      </c>
      <c r="M144" s="3">
        <f t="shared" ref="M144:M152" si="73">0.15*(I144*3.77+J144*4.3+K144*1.1)</f>
        <v>0</v>
      </c>
      <c r="N144" s="3">
        <f t="shared" ref="N144:N152" si="74">0.2*(I144*3.77+J144*4.3+K144*1.1)</f>
        <v>0</v>
      </c>
      <c r="O144" s="265">
        <v>110000</v>
      </c>
      <c r="P144" s="3">
        <v>0</v>
      </c>
      <c r="Q144" s="3">
        <v>0</v>
      </c>
      <c r="R144" s="3">
        <v>0</v>
      </c>
      <c r="S144" s="3">
        <f t="shared" ref="S144:S152" si="75">SUM(O144:R144)</f>
        <v>110000</v>
      </c>
      <c r="T144" s="3">
        <f t="shared" ref="T144:T152" si="76">0.1*S144</f>
        <v>11000</v>
      </c>
      <c r="U144" s="3">
        <f t="shared" ref="U144:U152" si="77">0.05*S144</f>
        <v>5500</v>
      </c>
      <c r="V144" s="3">
        <f t="shared" ref="V144:V152" si="78">0.4*S144</f>
        <v>44000</v>
      </c>
      <c r="W144" s="3">
        <f t="shared" si="63"/>
        <v>60500</v>
      </c>
      <c r="X144" s="3">
        <f t="shared" si="64"/>
        <v>126500</v>
      </c>
      <c r="Y144" s="3">
        <f t="shared" ref="Y144:Y152" si="79">(W144+S144)*(1-$AB$1)</f>
        <v>170500</v>
      </c>
      <c r="Z144" s="2">
        <v>20</v>
      </c>
    </row>
    <row r="145" spans="1:26" hidden="1" x14ac:dyDescent="0.25">
      <c r="A145" s="2">
        <v>189</v>
      </c>
      <c r="B145" s="296" t="s">
        <v>249</v>
      </c>
      <c r="C145" s="2" t="s">
        <v>14</v>
      </c>
      <c r="D145" s="2" t="s">
        <v>87</v>
      </c>
      <c r="E145" s="2" t="s">
        <v>102</v>
      </c>
      <c r="F145" s="2" t="s">
        <v>102</v>
      </c>
      <c r="G145" s="2" t="s">
        <v>50</v>
      </c>
      <c r="H145" s="4"/>
      <c r="I145" s="51">
        <v>0</v>
      </c>
      <c r="J145" s="262">
        <v>0</v>
      </c>
      <c r="K145" s="264">
        <v>0</v>
      </c>
      <c r="L145" s="3">
        <v>0</v>
      </c>
      <c r="M145" s="3">
        <f t="shared" si="73"/>
        <v>0</v>
      </c>
      <c r="N145" s="3">
        <f t="shared" si="74"/>
        <v>0</v>
      </c>
      <c r="O145" s="265">
        <v>120000</v>
      </c>
      <c r="P145" s="3">
        <v>0</v>
      </c>
      <c r="Q145" s="3">
        <v>0</v>
      </c>
      <c r="R145" s="3">
        <v>0</v>
      </c>
      <c r="S145" s="3">
        <f t="shared" si="75"/>
        <v>120000</v>
      </c>
      <c r="T145" s="3">
        <f t="shared" si="76"/>
        <v>12000</v>
      </c>
      <c r="U145" s="3">
        <f t="shared" si="77"/>
        <v>6000</v>
      </c>
      <c r="V145" s="3">
        <f t="shared" si="78"/>
        <v>48000</v>
      </c>
      <c r="W145" s="3">
        <f t="shared" si="63"/>
        <v>66000</v>
      </c>
      <c r="X145" s="3">
        <f t="shared" si="64"/>
        <v>138000</v>
      </c>
      <c r="Y145" s="3">
        <f t="shared" si="79"/>
        <v>186000</v>
      </c>
      <c r="Z145" s="2">
        <v>30</v>
      </c>
    </row>
    <row r="146" spans="1:26" hidden="1" x14ac:dyDescent="0.25">
      <c r="A146" s="2">
        <v>245</v>
      </c>
      <c r="B146" s="256" t="s">
        <v>274</v>
      </c>
      <c r="C146" s="2" t="s">
        <v>14</v>
      </c>
      <c r="D146" s="2" t="s">
        <v>104</v>
      </c>
      <c r="E146" s="2" t="s">
        <v>103</v>
      </c>
      <c r="F146" s="2" t="s">
        <v>103</v>
      </c>
      <c r="G146" s="2" t="s">
        <v>50</v>
      </c>
      <c r="H146" s="4"/>
      <c r="I146" s="51">
        <v>0</v>
      </c>
      <c r="J146" s="262">
        <v>0</v>
      </c>
      <c r="K146" s="264">
        <v>0</v>
      </c>
      <c r="L146" s="3">
        <v>0</v>
      </c>
      <c r="M146" s="3">
        <f t="shared" si="73"/>
        <v>0</v>
      </c>
      <c r="N146" s="3">
        <f t="shared" si="74"/>
        <v>0</v>
      </c>
      <c r="O146" s="265">
        <f t="shared" ref="O146:O152" si="80">N146+M146+L146+1.1*K146+J146*4.3+I146*3.77</f>
        <v>0</v>
      </c>
      <c r="P146" s="3">
        <v>0</v>
      </c>
      <c r="Q146" s="3">
        <v>0</v>
      </c>
      <c r="R146" s="3">
        <v>0</v>
      </c>
      <c r="S146" s="3">
        <f t="shared" si="75"/>
        <v>0</v>
      </c>
      <c r="T146" s="3">
        <f t="shared" si="76"/>
        <v>0</v>
      </c>
      <c r="U146" s="3">
        <f t="shared" si="77"/>
        <v>0</v>
      </c>
      <c r="V146" s="3">
        <f t="shared" si="78"/>
        <v>0</v>
      </c>
      <c r="W146" s="3">
        <f t="shared" ref="W146:W157" si="81">SUM(T146:V146)</f>
        <v>0</v>
      </c>
      <c r="X146" s="3">
        <f t="shared" ref="X146:X157" si="82">SUM(S146:U146)</f>
        <v>0</v>
      </c>
      <c r="Y146" s="3">
        <f t="shared" si="79"/>
        <v>0</v>
      </c>
      <c r="Z146" s="2">
        <v>10</v>
      </c>
    </row>
    <row r="147" spans="1:26" hidden="1" x14ac:dyDescent="0.25">
      <c r="A147" s="2">
        <v>246</v>
      </c>
      <c r="B147" s="256" t="s">
        <v>275</v>
      </c>
      <c r="C147" s="2" t="s">
        <v>14</v>
      </c>
      <c r="D147" s="2" t="s">
        <v>105</v>
      </c>
      <c r="E147" s="2" t="s">
        <v>103</v>
      </c>
      <c r="F147" s="2" t="s">
        <v>103</v>
      </c>
      <c r="G147" s="2" t="s">
        <v>50</v>
      </c>
      <c r="H147" s="4"/>
      <c r="I147" s="51">
        <v>0</v>
      </c>
      <c r="J147" s="262">
        <v>0</v>
      </c>
      <c r="K147" s="264">
        <v>0</v>
      </c>
      <c r="L147" s="3">
        <v>0</v>
      </c>
      <c r="M147" s="3">
        <f t="shared" si="73"/>
        <v>0</v>
      </c>
      <c r="N147" s="3">
        <f t="shared" si="74"/>
        <v>0</v>
      </c>
      <c r="O147" s="265">
        <f t="shared" si="80"/>
        <v>0</v>
      </c>
      <c r="P147" s="3">
        <v>0</v>
      </c>
      <c r="Q147" s="3">
        <v>0</v>
      </c>
      <c r="R147" s="3">
        <v>0</v>
      </c>
      <c r="S147" s="3">
        <f t="shared" si="75"/>
        <v>0</v>
      </c>
      <c r="T147" s="3">
        <f t="shared" si="76"/>
        <v>0</v>
      </c>
      <c r="U147" s="3">
        <f t="shared" si="77"/>
        <v>0</v>
      </c>
      <c r="V147" s="3">
        <f t="shared" si="78"/>
        <v>0</v>
      </c>
      <c r="W147" s="3">
        <f t="shared" si="81"/>
        <v>0</v>
      </c>
      <c r="X147" s="3">
        <f t="shared" si="82"/>
        <v>0</v>
      </c>
      <c r="Y147" s="3">
        <f t="shared" si="79"/>
        <v>0</v>
      </c>
      <c r="Z147" s="2">
        <v>10</v>
      </c>
    </row>
    <row r="148" spans="1:26" hidden="1" x14ac:dyDescent="0.25">
      <c r="A148" s="2">
        <v>247</v>
      </c>
      <c r="B148" s="256" t="s">
        <v>276</v>
      </c>
      <c r="C148" s="2" t="s">
        <v>14</v>
      </c>
      <c r="D148" s="2" t="s">
        <v>106</v>
      </c>
      <c r="E148" s="2" t="s">
        <v>103</v>
      </c>
      <c r="F148" s="2" t="s">
        <v>103</v>
      </c>
      <c r="G148" s="2" t="s">
        <v>50</v>
      </c>
      <c r="H148" s="4"/>
      <c r="I148" s="51">
        <v>0</v>
      </c>
      <c r="J148" s="262">
        <v>0</v>
      </c>
      <c r="K148" s="264">
        <v>0</v>
      </c>
      <c r="L148" s="3">
        <v>0</v>
      </c>
      <c r="M148" s="3">
        <f t="shared" si="73"/>
        <v>0</v>
      </c>
      <c r="N148" s="3">
        <f t="shared" si="74"/>
        <v>0</v>
      </c>
      <c r="O148" s="265">
        <f t="shared" si="80"/>
        <v>0</v>
      </c>
      <c r="P148" s="3">
        <v>0</v>
      </c>
      <c r="Q148" s="3">
        <v>0</v>
      </c>
      <c r="R148" s="3">
        <v>0</v>
      </c>
      <c r="S148" s="3">
        <f t="shared" si="75"/>
        <v>0</v>
      </c>
      <c r="T148" s="3">
        <f t="shared" si="76"/>
        <v>0</v>
      </c>
      <c r="U148" s="3">
        <f t="shared" si="77"/>
        <v>0</v>
      </c>
      <c r="V148" s="3">
        <f t="shared" si="78"/>
        <v>0</v>
      </c>
      <c r="W148" s="3">
        <f t="shared" si="81"/>
        <v>0</v>
      </c>
      <c r="X148" s="3">
        <f t="shared" si="82"/>
        <v>0</v>
      </c>
      <c r="Y148" s="3">
        <f t="shared" si="79"/>
        <v>0</v>
      </c>
      <c r="Z148" s="2">
        <v>10</v>
      </c>
    </row>
    <row r="149" spans="1:26" hidden="1" x14ac:dyDescent="0.25">
      <c r="A149" s="2">
        <v>248</v>
      </c>
      <c r="B149" s="256" t="s">
        <v>277</v>
      </c>
      <c r="C149" s="2" t="s">
        <v>14</v>
      </c>
      <c r="D149" s="2" t="s">
        <v>107</v>
      </c>
      <c r="E149" s="2" t="s">
        <v>103</v>
      </c>
      <c r="F149" s="2" t="s">
        <v>103</v>
      </c>
      <c r="G149" s="2" t="s">
        <v>50</v>
      </c>
      <c r="H149" s="4"/>
      <c r="I149" s="51">
        <v>0</v>
      </c>
      <c r="J149" s="262">
        <v>0</v>
      </c>
      <c r="K149" s="264">
        <v>0</v>
      </c>
      <c r="L149" s="3">
        <v>0</v>
      </c>
      <c r="M149" s="3">
        <f t="shared" si="73"/>
        <v>0</v>
      </c>
      <c r="N149" s="3">
        <f t="shared" si="74"/>
        <v>0</v>
      </c>
      <c r="O149" s="265">
        <f t="shared" si="80"/>
        <v>0</v>
      </c>
      <c r="P149" s="3">
        <v>0</v>
      </c>
      <c r="Q149" s="3">
        <v>0</v>
      </c>
      <c r="R149" s="3">
        <v>0</v>
      </c>
      <c r="S149" s="3">
        <f t="shared" si="75"/>
        <v>0</v>
      </c>
      <c r="T149" s="3">
        <f t="shared" si="76"/>
        <v>0</v>
      </c>
      <c r="U149" s="3">
        <f t="shared" si="77"/>
        <v>0</v>
      </c>
      <c r="V149" s="3">
        <f t="shared" si="78"/>
        <v>0</v>
      </c>
      <c r="W149" s="3">
        <f t="shared" si="81"/>
        <v>0</v>
      </c>
      <c r="X149" s="3">
        <f t="shared" si="82"/>
        <v>0</v>
      </c>
      <c r="Y149" s="3">
        <f t="shared" si="79"/>
        <v>0</v>
      </c>
      <c r="Z149" s="2">
        <v>10</v>
      </c>
    </row>
    <row r="150" spans="1:26" hidden="1" x14ac:dyDescent="0.25">
      <c r="A150" s="2">
        <v>249</v>
      </c>
      <c r="B150" s="256" t="s">
        <v>278</v>
      </c>
      <c r="C150" s="2" t="s">
        <v>14</v>
      </c>
      <c r="D150" s="2" t="s">
        <v>108</v>
      </c>
      <c r="E150" s="2" t="s">
        <v>103</v>
      </c>
      <c r="F150" s="2" t="s">
        <v>103</v>
      </c>
      <c r="G150" s="2" t="s">
        <v>50</v>
      </c>
      <c r="H150" s="4"/>
      <c r="I150" s="51">
        <v>0</v>
      </c>
      <c r="J150" s="262">
        <v>0</v>
      </c>
      <c r="K150" s="264">
        <v>0</v>
      </c>
      <c r="L150" s="3">
        <v>0</v>
      </c>
      <c r="M150" s="3">
        <f t="shared" si="73"/>
        <v>0</v>
      </c>
      <c r="N150" s="3">
        <f t="shared" si="74"/>
        <v>0</v>
      </c>
      <c r="O150" s="265">
        <f t="shared" si="80"/>
        <v>0</v>
      </c>
      <c r="P150" s="3">
        <v>0</v>
      </c>
      <c r="Q150" s="3">
        <v>0</v>
      </c>
      <c r="R150" s="3">
        <v>0</v>
      </c>
      <c r="S150" s="3">
        <f t="shared" si="75"/>
        <v>0</v>
      </c>
      <c r="T150" s="3">
        <f t="shared" si="76"/>
        <v>0</v>
      </c>
      <c r="U150" s="3">
        <f t="shared" si="77"/>
        <v>0</v>
      </c>
      <c r="V150" s="3">
        <f t="shared" si="78"/>
        <v>0</v>
      </c>
      <c r="W150" s="3">
        <f t="shared" si="81"/>
        <v>0</v>
      </c>
      <c r="X150" s="3">
        <f t="shared" si="82"/>
        <v>0</v>
      </c>
      <c r="Y150" s="3">
        <f t="shared" si="79"/>
        <v>0</v>
      </c>
      <c r="Z150" s="2">
        <v>20</v>
      </c>
    </row>
    <row r="151" spans="1:26" hidden="1" x14ac:dyDescent="0.25">
      <c r="A151" s="2">
        <v>250</v>
      </c>
      <c r="B151" s="256" t="s">
        <v>279</v>
      </c>
      <c r="C151" s="2" t="s">
        <v>14</v>
      </c>
      <c r="D151" s="2" t="s">
        <v>109</v>
      </c>
      <c r="E151" s="2" t="s">
        <v>103</v>
      </c>
      <c r="F151" s="2" t="s">
        <v>103</v>
      </c>
      <c r="G151" s="2" t="s">
        <v>50</v>
      </c>
      <c r="H151" s="4"/>
      <c r="I151" s="51">
        <v>0</v>
      </c>
      <c r="J151" s="262">
        <v>0</v>
      </c>
      <c r="K151" s="264">
        <v>0</v>
      </c>
      <c r="L151" s="3">
        <v>0</v>
      </c>
      <c r="M151" s="3">
        <f t="shared" si="73"/>
        <v>0</v>
      </c>
      <c r="N151" s="3">
        <f t="shared" si="74"/>
        <v>0</v>
      </c>
      <c r="O151" s="265">
        <f t="shared" si="80"/>
        <v>0</v>
      </c>
      <c r="P151" s="3">
        <v>0</v>
      </c>
      <c r="Q151" s="3">
        <v>0</v>
      </c>
      <c r="R151" s="3">
        <v>0</v>
      </c>
      <c r="S151" s="3">
        <f t="shared" si="75"/>
        <v>0</v>
      </c>
      <c r="T151" s="3">
        <f t="shared" si="76"/>
        <v>0</v>
      </c>
      <c r="U151" s="3">
        <f t="shared" si="77"/>
        <v>0</v>
      </c>
      <c r="V151" s="3">
        <f t="shared" si="78"/>
        <v>0</v>
      </c>
      <c r="W151" s="3">
        <f t="shared" si="81"/>
        <v>0</v>
      </c>
      <c r="X151" s="3">
        <f t="shared" si="82"/>
        <v>0</v>
      </c>
      <c r="Y151" s="3">
        <f t="shared" si="79"/>
        <v>0</v>
      </c>
      <c r="Z151" s="2">
        <v>20</v>
      </c>
    </row>
    <row r="152" spans="1:26" hidden="1" x14ac:dyDescent="0.25">
      <c r="A152" s="2">
        <v>251</v>
      </c>
      <c r="B152" s="256" t="s">
        <v>280</v>
      </c>
      <c r="C152" s="2" t="s">
        <v>14</v>
      </c>
      <c r="D152" s="2" t="s">
        <v>110</v>
      </c>
      <c r="E152" s="2" t="s">
        <v>103</v>
      </c>
      <c r="F152" s="2" t="s">
        <v>103</v>
      </c>
      <c r="G152" s="2" t="s">
        <v>50</v>
      </c>
      <c r="H152" s="4"/>
      <c r="I152" s="51">
        <v>0</v>
      </c>
      <c r="J152" s="262">
        <v>0</v>
      </c>
      <c r="K152" s="264">
        <v>0</v>
      </c>
      <c r="L152" s="3">
        <v>0</v>
      </c>
      <c r="M152" s="3">
        <f t="shared" si="73"/>
        <v>0</v>
      </c>
      <c r="N152" s="3">
        <f t="shared" si="74"/>
        <v>0</v>
      </c>
      <c r="O152" s="265">
        <f t="shared" si="80"/>
        <v>0</v>
      </c>
      <c r="P152" s="3">
        <v>0</v>
      </c>
      <c r="Q152" s="3">
        <v>0</v>
      </c>
      <c r="R152" s="3">
        <v>0</v>
      </c>
      <c r="S152" s="3">
        <f t="shared" si="75"/>
        <v>0</v>
      </c>
      <c r="T152" s="3">
        <f t="shared" si="76"/>
        <v>0</v>
      </c>
      <c r="U152" s="3">
        <f t="shared" si="77"/>
        <v>0</v>
      </c>
      <c r="V152" s="3">
        <f t="shared" si="78"/>
        <v>0</v>
      </c>
      <c r="W152" s="3">
        <f t="shared" si="81"/>
        <v>0</v>
      </c>
      <c r="X152" s="3">
        <f t="shared" si="82"/>
        <v>0</v>
      </c>
      <c r="Y152" s="3">
        <f t="shared" si="79"/>
        <v>0</v>
      </c>
      <c r="Z152" s="2">
        <v>20</v>
      </c>
    </row>
    <row r="153" spans="1:26" hidden="1" x14ac:dyDescent="0.25">
      <c r="A153" s="2">
        <v>252</v>
      </c>
      <c r="B153" s="256" t="s">
        <v>281</v>
      </c>
      <c r="C153" s="2" t="s">
        <v>14</v>
      </c>
      <c r="D153" s="2" t="s">
        <v>111</v>
      </c>
      <c r="E153" s="2" t="s">
        <v>103</v>
      </c>
      <c r="F153" s="2" t="s">
        <v>103</v>
      </c>
      <c r="G153" s="2" t="s">
        <v>50</v>
      </c>
      <c r="H153" s="4"/>
      <c r="I153" s="51">
        <v>0</v>
      </c>
      <c r="J153" s="262">
        <v>0</v>
      </c>
      <c r="K153" s="264">
        <v>0</v>
      </c>
      <c r="L153" s="3">
        <v>0</v>
      </c>
      <c r="M153" s="3">
        <f t="shared" ref="M153:M207" si="83">0.15*(I153*3.77+J153*4.3+K153*1.1)</f>
        <v>0</v>
      </c>
      <c r="N153" s="3">
        <f t="shared" ref="N153:N207" si="84">0.2*(I153*3.77+J153*4.3+K153*1.1)</f>
        <v>0</v>
      </c>
      <c r="O153" s="265">
        <f t="shared" ref="O153:O185" si="85">N153+M153+L153+1.1*K153+J153*4.3+I153*3.77</f>
        <v>0</v>
      </c>
      <c r="P153" s="3">
        <v>0</v>
      </c>
      <c r="Q153" s="3">
        <v>0</v>
      </c>
      <c r="R153" s="3">
        <v>0</v>
      </c>
      <c r="S153" s="3">
        <f t="shared" ref="S153:S207" si="86">SUM(O153:R153)</f>
        <v>0</v>
      </c>
      <c r="T153" s="3">
        <f t="shared" ref="T153:T207" si="87">0.1*S153</f>
        <v>0</v>
      </c>
      <c r="U153" s="3">
        <f t="shared" ref="U153:U207" si="88">0.05*S153</f>
        <v>0</v>
      </c>
      <c r="V153" s="3">
        <f t="shared" ref="V153:V207" si="89">0.4*S153</f>
        <v>0</v>
      </c>
      <c r="W153" s="3">
        <f t="shared" si="81"/>
        <v>0</v>
      </c>
      <c r="X153" s="3">
        <f t="shared" si="82"/>
        <v>0</v>
      </c>
      <c r="Y153" s="3">
        <f t="shared" ref="Y153:Y209" si="90">(W153+S153)*(1-$AB$1)</f>
        <v>0</v>
      </c>
      <c r="Z153" s="2">
        <v>20</v>
      </c>
    </row>
    <row r="154" spans="1:26" hidden="1" x14ac:dyDescent="0.25">
      <c r="A154" s="2">
        <v>253</v>
      </c>
      <c r="B154" s="256" t="s">
        <v>282</v>
      </c>
      <c r="C154" s="2" t="s">
        <v>14</v>
      </c>
      <c r="D154" s="2" t="s">
        <v>112</v>
      </c>
      <c r="E154" s="2" t="s">
        <v>103</v>
      </c>
      <c r="F154" s="2" t="s">
        <v>103</v>
      </c>
      <c r="G154" s="2" t="s">
        <v>50</v>
      </c>
      <c r="H154" s="4"/>
      <c r="I154" s="51">
        <v>0</v>
      </c>
      <c r="J154" s="262">
        <v>0</v>
      </c>
      <c r="K154" s="264">
        <v>0</v>
      </c>
      <c r="L154" s="3">
        <v>0</v>
      </c>
      <c r="M154" s="3">
        <f t="shared" si="83"/>
        <v>0</v>
      </c>
      <c r="N154" s="3">
        <f t="shared" si="84"/>
        <v>0</v>
      </c>
      <c r="O154" s="265">
        <f t="shared" si="85"/>
        <v>0</v>
      </c>
      <c r="P154" s="3">
        <v>0</v>
      </c>
      <c r="Q154" s="3">
        <v>0</v>
      </c>
      <c r="R154" s="3">
        <v>0</v>
      </c>
      <c r="S154" s="3">
        <f t="shared" si="86"/>
        <v>0</v>
      </c>
      <c r="T154" s="3">
        <f t="shared" si="87"/>
        <v>0</v>
      </c>
      <c r="U154" s="3">
        <f t="shared" si="88"/>
        <v>0</v>
      </c>
      <c r="V154" s="3">
        <f t="shared" si="89"/>
        <v>0</v>
      </c>
      <c r="W154" s="3">
        <f t="shared" si="81"/>
        <v>0</v>
      </c>
      <c r="X154" s="3">
        <f t="shared" si="82"/>
        <v>0</v>
      </c>
      <c r="Y154" s="3">
        <f t="shared" si="90"/>
        <v>0</v>
      </c>
      <c r="Z154" s="2">
        <v>20</v>
      </c>
    </row>
    <row r="155" spans="1:26" hidden="1" x14ac:dyDescent="0.25">
      <c r="A155" s="2">
        <v>254</v>
      </c>
      <c r="B155" s="256" t="s">
        <v>283</v>
      </c>
      <c r="C155" s="2" t="s">
        <v>14</v>
      </c>
      <c r="D155" s="2" t="s">
        <v>113</v>
      </c>
      <c r="E155" s="2" t="s">
        <v>103</v>
      </c>
      <c r="F155" s="2" t="s">
        <v>103</v>
      </c>
      <c r="G155" s="2" t="s">
        <v>50</v>
      </c>
      <c r="H155" s="4"/>
      <c r="I155" s="51">
        <v>0</v>
      </c>
      <c r="J155" s="262">
        <v>0</v>
      </c>
      <c r="K155" s="264">
        <v>0</v>
      </c>
      <c r="L155" s="3">
        <v>0</v>
      </c>
      <c r="M155" s="3">
        <f t="shared" si="83"/>
        <v>0</v>
      </c>
      <c r="N155" s="3">
        <f t="shared" si="84"/>
        <v>0</v>
      </c>
      <c r="O155" s="265">
        <f t="shared" si="85"/>
        <v>0</v>
      </c>
      <c r="P155" s="3">
        <v>0</v>
      </c>
      <c r="Q155" s="3">
        <v>0</v>
      </c>
      <c r="R155" s="3">
        <v>0</v>
      </c>
      <c r="S155" s="3">
        <f t="shared" si="86"/>
        <v>0</v>
      </c>
      <c r="T155" s="3">
        <f t="shared" si="87"/>
        <v>0</v>
      </c>
      <c r="U155" s="3">
        <f t="shared" si="88"/>
        <v>0</v>
      </c>
      <c r="V155" s="3">
        <f t="shared" si="89"/>
        <v>0</v>
      </c>
      <c r="W155" s="3">
        <f t="shared" si="81"/>
        <v>0</v>
      </c>
      <c r="X155" s="3">
        <f t="shared" si="82"/>
        <v>0</v>
      </c>
      <c r="Y155" s="3">
        <f t="shared" si="90"/>
        <v>0</v>
      </c>
      <c r="Z155" s="2">
        <v>20</v>
      </c>
    </row>
    <row r="156" spans="1:26" hidden="1" x14ac:dyDescent="0.25">
      <c r="A156" s="2">
        <v>255</v>
      </c>
      <c r="B156" s="256" t="s">
        <v>284</v>
      </c>
      <c r="C156" s="2" t="s">
        <v>14</v>
      </c>
      <c r="D156" s="2" t="s">
        <v>114</v>
      </c>
      <c r="E156" s="2" t="s">
        <v>103</v>
      </c>
      <c r="F156" s="2" t="s">
        <v>103</v>
      </c>
      <c r="G156" s="2" t="s">
        <v>50</v>
      </c>
      <c r="H156" s="4"/>
      <c r="I156" s="51">
        <v>0</v>
      </c>
      <c r="J156" s="262">
        <v>0</v>
      </c>
      <c r="K156" s="264">
        <v>0</v>
      </c>
      <c r="L156" s="3">
        <v>0</v>
      </c>
      <c r="M156" s="3">
        <f t="shared" si="83"/>
        <v>0</v>
      </c>
      <c r="N156" s="3">
        <f t="shared" si="84"/>
        <v>0</v>
      </c>
      <c r="O156" s="265">
        <f t="shared" si="85"/>
        <v>0</v>
      </c>
      <c r="P156" s="3">
        <v>0</v>
      </c>
      <c r="Q156" s="3">
        <v>0</v>
      </c>
      <c r="R156" s="3">
        <v>0</v>
      </c>
      <c r="S156" s="3">
        <f t="shared" si="86"/>
        <v>0</v>
      </c>
      <c r="T156" s="3">
        <f t="shared" si="87"/>
        <v>0</v>
      </c>
      <c r="U156" s="3">
        <f t="shared" si="88"/>
        <v>0</v>
      </c>
      <c r="V156" s="3">
        <f t="shared" si="89"/>
        <v>0</v>
      </c>
      <c r="W156" s="3">
        <f t="shared" si="81"/>
        <v>0</v>
      </c>
      <c r="X156" s="3">
        <f t="shared" si="82"/>
        <v>0</v>
      </c>
      <c r="Y156" s="3">
        <f t="shared" si="90"/>
        <v>0</v>
      </c>
      <c r="Z156" s="2">
        <v>20</v>
      </c>
    </row>
    <row r="157" spans="1:26" hidden="1" x14ac:dyDescent="0.25">
      <c r="A157" s="2">
        <v>256</v>
      </c>
      <c r="B157" s="2" t="s">
        <v>581</v>
      </c>
      <c r="C157" s="2" t="s">
        <v>14</v>
      </c>
      <c r="D157" s="2" t="s">
        <v>92</v>
      </c>
      <c r="E157" s="2" t="s">
        <v>12</v>
      </c>
      <c r="F157" s="2" t="s">
        <v>13</v>
      </c>
      <c r="G157" s="2" t="s">
        <v>50</v>
      </c>
      <c r="H157" s="4" t="s">
        <v>54</v>
      </c>
      <c r="I157" s="51">
        <v>0</v>
      </c>
      <c r="J157" s="262">
        <v>0</v>
      </c>
      <c r="K157" s="264">
        <v>0</v>
      </c>
      <c r="L157" s="3">
        <v>21000</v>
      </c>
      <c r="M157" s="3">
        <f t="shared" si="83"/>
        <v>0</v>
      </c>
      <c r="N157" s="3">
        <f t="shared" si="84"/>
        <v>0</v>
      </c>
      <c r="O157" s="265">
        <f t="shared" si="85"/>
        <v>21000</v>
      </c>
      <c r="P157" s="3">
        <v>0</v>
      </c>
      <c r="Q157" s="3">
        <v>0</v>
      </c>
      <c r="R157" s="3">
        <v>0</v>
      </c>
      <c r="S157" s="3">
        <f t="shared" si="86"/>
        <v>21000</v>
      </c>
      <c r="T157" s="3">
        <f t="shared" si="87"/>
        <v>2100</v>
      </c>
      <c r="U157" s="3">
        <f t="shared" si="88"/>
        <v>1050</v>
      </c>
      <c r="V157" s="3">
        <f t="shared" si="89"/>
        <v>8400</v>
      </c>
      <c r="W157" s="3">
        <f t="shared" si="81"/>
        <v>11550</v>
      </c>
      <c r="X157" s="3">
        <f t="shared" si="82"/>
        <v>24150</v>
      </c>
      <c r="Y157" s="3">
        <f t="shared" si="90"/>
        <v>32550</v>
      </c>
      <c r="Z157" s="2">
        <v>5</v>
      </c>
    </row>
    <row r="158" spans="1:26" hidden="1" x14ac:dyDescent="0.25">
      <c r="A158" s="2">
        <v>258</v>
      </c>
      <c r="B158" s="2" t="s">
        <v>582</v>
      </c>
      <c r="C158" s="2" t="s">
        <v>14</v>
      </c>
      <c r="D158" s="2" t="s">
        <v>7</v>
      </c>
      <c r="E158" s="2" t="s">
        <v>12</v>
      </c>
      <c r="F158" s="2" t="s">
        <v>13</v>
      </c>
      <c r="G158" s="2" t="s">
        <v>50</v>
      </c>
      <c r="H158" s="4">
        <v>45242</v>
      </c>
      <c r="I158" s="51">
        <v>0</v>
      </c>
      <c r="J158" s="262">
        <v>0</v>
      </c>
      <c r="K158" s="264">
        <v>0</v>
      </c>
      <c r="L158" s="3">
        <v>23000</v>
      </c>
      <c r="M158" s="3">
        <f t="shared" si="83"/>
        <v>0</v>
      </c>
      <c r="N158" s="3">
        <f t="shared" si="84"/>
        <v>0</v>
      </c>
      <c r="O158" s="265">
        <f t="shared" si="85"/>
        <v>23000</v>
      </c>
      <c r="P158" s="3">
        <v>0</v>
      </c>
      <c r="Q158" s="3">
        <v>0</v>
      </c>
      <c r="R158" s="3">
        <v>0</v>
      </c>
      <c r="S158" s="3">
        <f t="shared" si="86"/>
        <v>23000</v>
      </c>
      <c r="T158" s="3">
        <f t="shared" si="87"/>
        <v>2300</v>
      </c>
      <c r="U158" s="3">
        <f t="shared" si="88"/>
        <v>1150</v>
      </c>
      <c r="V158" s="3">
        <f t="shared" si="89"/>
        <v>9200</v>
      </c>
      <c r="W158" s="3">
        <f t="shared" ref="W158:W212" si="91">SUM(T158:V158)</f>
        <v>12650</v>
      </c>
      <c r="X158" s="3">
        <f t="shared" ref="X158:X212" si="92">SUM(S158:U158)</f>
        <v>26450</v>
      </c>
      <c r="Y158" s="3">
        <f t="shared" si="90"/>
        <v>35650</v>
      </c>
      <c r="Z158" s="2">
        <v>5</v>
      </c>
    </row>
    <row r="159" spans="1:26" hidden="1" x14ac:dyDescent="0.25">
      <c r="A159" s="2">
        <v>259</v>
      </c>
      <c r="B159" s="2" t="s">
        <v>583</v>
      </c>
      <c r="C159" s="2" t="s">
        <v>14</v>
      </c>
      <c r="D159" s="2" t="s">
        <v>8</v>
      </c>
      <c r="E159" s="2" t="s">
        <v>12</v>
      </c>
      <c r="F159" s="2" t="s">
        <v>13</v>
      </c>
      <c r="G159" s="2" t="s">
        <v>50</v>
      </c>
      <c r="H159" s="4">
        <v>45134</v>
      </c>
      <c r="I159" s="51">
        <v>0</v>
      </c>
      <c r="J159" s="262">
        <v>0</v>
      </c>
      <c r="K159" s="264">
        <v>0</v>
      </c>
      <c r="L159" s="3">
        <v>26000</v>
      </c>
      <c r="M159" s="3">
        <f t="shared" si="83"/>
        <v>0</v>
      </c>
      <c r="N159" s="3">
        <f t="shared" si="84"/>
        <v>0</v>
      </c>
      <c r="O159" s="265">
        <f t="shared" si="85"/>
        <v>26000</v>
      </c>
      <c r="P159" s="3">
        <v>0</v>
      </c>
      <c r="Q159" s="3">
        <v>0</v>
      </c>
      <c r="R159" s="3">
        <v>0</v>
      </c>
      <c r="S159" s="3">
        <f t="shared" si="86"/>
        <v>26000</v>
      </c>
      <c r="T159" s="3">
        <f t="shared" si="87"/>
        <v>2600</v>
      </c>
      <c r="U159" s="3">
        <f t="shared" si="88"/>
        <v>1300</v>
      </c>
      <c r="V159" s="3">
        <f t="shared" si="89"/>
        <v>10400</v>
      </c>
      <c r="W159" s="3">
        <f t="shared" si="91"/>
        <v>14300</v>
      </c>
      <c r="X159" s="3">
        <f t="shared" si="92"/>
        <v>29900</v>
      </c>
      <c r="Y159" s="3">
        <f t="shared" si="90"/>
        <v>40300</v>
      </c>
      <c r="Z159" s="2">
        <v>5</v>
      </c>
    </row>
    <row r="160" spans="1:26" hidden="1" x14ac:dyDescent="0.25">
      <c r="A160" s="2">
        <v>260</v>
      </c>
      <c r="B160" s="2" t="s">
        <v>584</v>
      </c>
      <c r="C160" s="2" t="s">
        <v>14</v>
      </c>
      <c r="D160" s="2" t="s">
        <v>9</v>
      </c>
      <c r="E160" s="2" t="s">
        <v>12</v>
      </c>
      <c r="F160" s="2" t="s">
        <v>13</v>
      </c>
      <c r="G160" s="2" t="s">
        <v>50</v>
      </c>
      <c r="H160" s="4">
        <v>45268</v>
      </c>
      <c r="I160" s="51">
        <v>0</v>
      </c>
      <c r="J160" s="262">
        <v>0</v>
      </c>
      <c r="K160" s="264">
        <v>0</v>
      </c>
      <c r="L160" s="3">
        <v>28000</v>
      </c>
      <c r="M160" s="3">
        <f t="shared" si="83"/>
        <v>0</v>
      </c>
      <c r="N160" s="3">
        <f t="shared" si="84"/>
        <v>0</v>
      </c>
      <c r="O160" s="265">
        <f t="shared" si="85"/>
        <v>28000</v>
      </c>
      <c r="P160" s="3">
        <v>0</v>
      </c>
      <c r="Q160" s="3">
        <v>0</v>
      </c>
      <c r="R160" s="3">
        <v>0</v>
      </c>
      <c r="S160" s="3">
        <f t="shared" si="86"/>
        <v>28000</v>
      </c>
      <c r="T160" s="3">
        <f t="shared" si="87"/>
        <v>2800</v>
      </c>
      <c r="U160" s="3">
        <f t="shared" si="88"/>
        <v>1400</v>
      </c>
      <c r="V160" s="3">
        <f t="shared" si="89"/>
        <v>11200</v>
      </c>
      <c r="W160" s="3">
        <f t="shared" si="91"/>
        <v>15400</v>
      </c>
      <c r="X160" s="3">
        <f t="shared" si="92"/>
        <v>32200</v>
      </c>
      <c r="Y160" s="3">
        <f t="shared" si="90"/>
        <v>43400</v>
      </c>
      <c r="Z160" s="2">
        <v>5</v>
      </c>
    </row>
    <row r="161" spans="1:26" hidden="1" x14ac:dyDescent="0.25">
      <c r="A161" s="2">
        <v>261</v>
      </c>
      <c r="B161" s="2" t="s">
        <v>585</v>
      </c>
      <c r="C161" s="2" t="s">
        <v>14</v>
      </c>
      <c r="D161" s="2" t="s">
        <v>93</v>
      </c>
      <c r="E161" s="2" t="s">
        <v>12</v>
      </c>
      <c r="F161" s="2" t="s">
        <v>13</v>
      </c>
      <c r="G161" s="2" t="s">
        <v>50</v>
      </c>
      <c r="H161" s="4"/>
      <c r="I161" s="51">
        <v>0</v>
      </c>
      <c r="J161" s="262">
        <v>0</v>
      </c>
      <c r="K161" s="264">
        <v>0</v>
      </c>
      <c r="L161" s="3">
        <v>0</v>
      </c>
      <c r="M161" s="3">
        <f t="shared" si="83"/>
        <v>0</v>
      </c>
      <c r="N161" s="3">
        <f t="shared" si="84"/>
        <v>0</v>
      </c>
      <c r="O161" s="265">
        <f t="shared" si="85"/>
        <v>0</v>
      </c>
      <c r="P161" s="3">
        <v>0</v>
      </c>
      <c r="Q161" s="3">
        <v>0</v>
      </c>
      <c r="R161" s="3">
        <v>0</v>
      </c>
      <c r="S161" s="3">
        <f t="shared" si="86"/>
        <v>0</v>
      </c>
      <c r="T161" s="3">
        <f t="shared" si="87"/>
        <v>0</v>
      </c>
      <c r="U161" s="3">
        <f t="shared" si="88"/>
        <v>0</v>
      </c>
      <c r="V161" s="3">
        <f t="shared" si="89"/>
        <v>0</v>
      </c>
      <c r="W161" s="3">
        <f t="shared" si="91"/>
        <v>0</v>
      </c>
      <c r="X161" s="3">
        <f t="shared" si="92"/>
        <v>0</v>
      </c>
      <c r="Y161" s="3">
        <f t="shared" si="90"/>
        <v>0</v>
      </c>
      <c r="Z161" s="2">
        <v>5</v>
      </c>
    </row>
    <row r="162" spans="1:26" hidden="1" x14ac:dyDescent="0.25">
      <c r="A162" s="2">
        <v>262</v>
      </c>
      <c r="B162" s="2" t="s">
        <v>586</v>
      </c>
      <c r="C162" s="2" t="s">
        <v>14</v>
      </c>
      <c r="D162" s="2" t="s">
        <v>10</v>
      </c>
      <c r="E162" s="2" t="s">
        <v>12</v>
      </c>
      <c r="F162" s="2" t="s">
        <v>13</v>
      </c>
      <c r="G162" s="2" t="s">
        <v>50</v>
      </c>
      <c r="H162" s="4">
        <v>45173</v>
      </c>
      <c r="I162" s="51">
        <v>0</v>
      </c>
      <c r="J162" s="262">
        <v>0</v>
      </c>
      <c r="K162" s="264">
        <v>0</v>
      </c>
      <c r="L162" s="3">
        <v>38000</v>
      </c>
      <c r="M162" s="3">
        <f t="shared" si="83"/>
        <v>0</v>
      </c>
      <c r="N162" s="3">
        <f t="shared" si="84"/>
        <v>0</v>
      </c>
      <c r="O162" s="265">
        <f t="shared" si="85"/>
        <v>38000</v>
      </c>
      <c r="P162" s="3">
        <v>0</v>
      </c>
      <c r="Q162" s="3">
        <v>0</v>
      </c>
      <c r="R162" s="3">
        <v>0</v>
      </c>
      <c r="S162" s="3">
        <f t="shared" si="86"/>
        <v>38000</v>
      </c>
      <c r="T162" s="3">
        <f t="shared" si="87"/>
        <v>3800</v>
      </c>
      <c r="U162" s="3">
        <f t="shared" si="88"/>
        <v>1900</v>
      </c>
      <c r="V162" s="3">
        <f t="shared" si="89"/>
        <v>15200</v>
      </c>
      <c r="W162" s="3">
        <f t="shared" si="91"/>
        <v>20900</v>
      </c>
      <c r="X162" s="3">
        <f t="shared" si="92"/>
        <v>43700</v>
      </c>
      <c r="Y162" s="3">
        <f t="shared" si="90"/>
        <v>58900</v>
      </c>
      <c r="Z162" s="2">
        <v>5</v>
      </c>
    </row>
    <row r="163" spans="1:26" hidden="1" x14ac:dyDescent="0.25">
      <c r="A163" s="2">
        <v>263</v>
      </c>
      <c r="B163" s="2" t="s">
        <v>587</v>
      </c>
      <c r="C163" s="2" t="s">
        <v>14</v>
      </c>
      <c r="D163" s="2" t="s">
        <v>11</v>
      </c>
      <c r="E163" s="2" t="s">
        <v>12</v>
      </c>
      <c r="F163" s="2" t="s">
        <v>13</v>
      </c>
      <c r="G163" s="2" t="s">
        <v>50</v>
      </c>
      <c r="H163" s="4">
        <v>45257</v>
      </c>
      <c r="I163" s="51">
        <v>0</v>
      </c>
      <c r="J163" s="262">
        <v>0</v>
      </c>
      <c r="K163" s="264">
        <v>0</v>
      </c>
      <c r="L163" s="3">
        <v>45000</v>
      </c>
      <c r="M163" s="3">
        <f t="shared" si="83"/>
        <v>0</v>
      </c>
      <c r="N163" s="3">
        <f t="shared" si="84"/>
        <v>0</v>
      </c>
      <c r="O163" s="265">
        <f t="shared" si="85"/>
        <v>45000</v>
      </c>
      <c r="P163" s="3">
        <v>0</v>
      </c>
      <c r="Q163" s="3">
        <v>0</v>
      </c>
      <c r="R163" s="3">
        <v>0</v>
      </c>
      <c r="S163" s="3">
        <f t="shared" si="86"/>
        <v>45000</v>
      </c>
      <c r="T163" s="3">
        <f t="shared" si="87"/>
        <v>4500</v>
      </c>
      <c r="U163" s="3">
        <f t="shared" si="88"/>
        <v>2250</v>
      </c>
      <c r="V163" s="3">
        <f t="shared" si="89"/>
        <v>18000</v>
      </c>
      <c r="W163" s="3">
        <f t="shared" si="91"/>
        <v>24750</v>
      </c>
      <c r="X163" s="3">
        <f t="shared" si="92"/>
        <v>51750</v>
      </c>
      <c r="Y163" s="3">
        <f t="shared" si="90"/>
        <v>69750</v>
      </c>
      <c r="Z163" s="2">
        <v>10</v>
      </c>
    </row>
    <row r="164" spans="1:26" hidden="1" x14ac:dyDescent="0.25">
      <c r="A164" s="2">
        <v>264</v>
      </c>
      <c r="B164" s="2" t="s">
        <v>588</v>
      </c>
      <c r="C164" s="2" t="s">
        <v>14</v>
      </c>
      <c r="D164" s="2" t="s">
        <v>94</v>
      </c>
      <c r="E164" s="8" t="s">
        <v>761</v>
      </c>
      <c r="F164" s="2" t="s">
        <v>20</v>
      </c>
      <c r="G164" s="2" t="s">
        <v>50</v>
      </c>
      <c r="H164" s="4"/>
      <c r="I164" s="51">
        <v>0</v>
      </c>
      <c r="J164" s="262">
        <v>0</v>
      </c>
      <c r="K164" s="264">
        <v>0</v>
      </c>
      <c r="L164" s="3">
        <v>0</v>
      </c>
      <c r="M164" s="3">
        <f t="shared" si="83"/>
        <v>0</v>
      </c>
      <c r="N164" s="3">
        <f t="shared" si="84"/>
        <v>0</v>
      </c>
      <c r="O164" s="265">
        <f t="shared" si="85"/>
        <v>0</v>
      </c>
      <c r="P164" s="3">
        <v>0</v>
      </c>
      <c r="Q164" s="3">
        <v>0</v>
      </c>
      <c r="R164" s="3">
        <v>0</v>
      </c>
      <c r="S164" s="3">
        <f t="shared" si="86"/>
        <v>0</v>
      </c>
      <c r="T164" s="3">
        <f t="shared" si="87"/>
        <v>0</v>
      </c>
      <c r="U164" s="3">
        <f t="shared" si="88"/>
        <v>0</v>
      </c>
      <c r="V164" s="3">
        <f t="shared" si="89"/>
        <v>0</v>
      </c>
      <c r="W164" s="3">
        <f t="shared" si="91"/>
        <v>0</v>
      </c>
      <c r="X164" s="3">
        <f t="shared" si="92"/>
        <v>0</v>
      </c>
      <c r="Y164" s="3">
        <f t="shared" si="90"/>
        <v>0</v>
      </c>
      <c r="Z164" s="2">
        <v>5</v>
      </c>
    </row>
    <row r="165" spans="1:26" hidden="1" x14ac:dyDescent="0.25">
      <c r="A165" s="2">
        <v>265</v>
      </c>
      <c r="B165" s="2" t="s">
        <v>589</v>
      </c>
      <c r="C165" s="2" t="s">
        <v>14</v>
      </c>
      <c r="D165" s="2" t="s">
        <v>15</v>
      </c>
      <c r="E165" s="8" t="s">
        <v>761</v>
      </c>
      <c r="F165" s="2" t="s">
        <v>20</v>
      </c>
      <c r="G165" s="2" t="s">
        <v>50</v>
      </c>
      <c r="H165" s="4"/>
      <c r="I165" s="51">
        <v>2500</v>
      </c>
      <c r="J165" s="262">
        <v>0</v>
      </c>
      <c r="K165" s="264">
        <v>0</v>
      </c>
      <c r="L165" s="3"/>
      <c r="M165" s="3">
        <f t="shared" si="83"/>
        <v>1413.75</v>
      </c>
      <c r="N165" s="3">
        <f t="shared" si="84"/>
        <v>1885</v>
      </c>
      <c r="O165" s="265">
        <f t="shared" si="85"/>
        <v>12723.75</v>
      </c>
      <c r="P165" s="3">
        <v>0</v>
      </c>
      <c r="Q165" s="3">
        <v>0</v>
      </c>
      <c r="R165" s="3">
        <v>0</v>
      </c>
      <c r="S165" s="3">
        <f t="shared" si="86"/>
        <v>12723.75</v>
      </c>
      <c r="T165" s="3">
        <f t="shared" si="87"/>
        <v>1272.375</v>
      </c>
      <c r="U165" s="3">
        <f t="shared" si="88"/>
        <v>636.1875</v>
      </c>
      <c r="V165" s="3">
        <f t="shared" si="89"/>
        <v>5089.5</v>
      </c>
      <c r="W165" s="3">
        <f t="shared" si="91"/>
        <v>6998.0625</v>
      </c>
      <c r="X165" s="3">
        <f t="shared" si="92"/>
        <v>14632.3125</v>
      </c>
      <c r="Y165" s="3">
        <f t="shared" si="90"/>
        <v>19721.8125</v>
      </c>
      <c r="Z165" s="2">
        <v>5</v>
      </c>
    </row>
    <row r="166" spans="1:26" hidden="1" x14ac:dyDescent="0.25">
      <c r="A166" s="2">
        <v>266</v>
      </c>
      <c r="B166" s="2" t="s">
        <v>590</v>
      </c>
      <c r="C166" s="2" t="s">
        <v>14</v>
      </c>
      <c r="D166" s="2" t="s">
        <v>16</v>
      </c>
      <c r="E166" s="8" t="s">
        <v>761</v>
      </c>
      <c r="F166" s="2" t="s">
        <v>20</v>
      </c>
      <c r="G166" s="2" t="s">
        <v>50</v>
      </c>
      <c r="H166" s="4"/>
      <c r="I166" s="51">
        <v>0</v>
      </c>
      <c r="J166" s="262">
        <v>0</v>
      </c>
      <c r="K166" s="264">
        <v>0</v>
      </c>
      <c r="L166" s="3">
        <v>0</v>
      </c>
      <c r="M166" s="3">
        <f t="shared" si="83"/>
        <v>0</v>
      </c>
      <c r="N166" s="3">
        <f t="shared" si="84"/>
        <v>0</v>
      </c>
      <c r="O166" s="265">
        <f t="shared" si="85"/>
        <v>0</v>
      </c>
      <c r="P166" s="3">
        <v>0</v>
      </c>
      <c r="Q166" s="3">
        <v>0</v>
      </c>
      <c r="R166" s="3">
        <v>0</v>
      </c>
      <c r="S166" s="3">
        <f t="shared" si="86"/>
        <v>0</v>
      </c>
      <c r="T166" s="3">
        <f t="shared" si="87"/>
        <v>0</v>
      </c>
      <c r="U166" s="3">
        <f t="shared" si="88"/>
        <v>0</v>
      </c>
      <c r="V166" s="3">
        <f t="shared" si="89"/>
        <v>0</v>
      </c>
      <c r="W166" s="3">
        <f t="shared" si="91"/>
        <v>0</v>
      </c>
      <c r="X166" s="3">
        <f t="shared" si="92"/>
        <v>0</v>
      </c>
      <c r="Y166" s="3">
        <f t="shared" si="90"/>
        <v>0</v>
      </c>
      <c r="Z166" s="2">
        <v>5</v>
      </c>
    </row>
    <row r="167" spans="1:26" hidden="1" x14ac:dyDescent="0.25">
      <c r="A167" s="2">
        <v>267</v>
      </c>
      <c r="B167" s="2" t="s">
        <v>591</v>
      </c>
      <c r="C167" s="2" t="s">
        <v>14</v>
      </c>
      <c r="D167" s="2" t="s">
        <v>17</v>
      </c>
      <c r="E167" s="8" t="s">
        <v>761</v>
      </c>
      <c r="F167" s="2" t="s">
        <v>20</v>
      </c>
      <c r="G167" s="2" t="s">
        <v>50</v>
      </c>
      <c r="H167" s="4"/>
      <c r="I167" s="51">
        <v>0</v>
      </c>
      <c r="J167" s="262">
        <v>0</v>
      </c>
      <c r="K167" s="264">
        <v>0</v>
      </c>
      <c r="L167" s="3"/>
      <c r="M167" s="3">
        <f t="shared" si="83"/>
        <v>0</v>
      </c>
      <c r="N167" s="3">
        <f t="shared" si="84"/>
        <v>0</v>
      </c>
      <c r="O167" s="265">
        <f t="shared" si="85"/>
        <v>0</v>
      </c>
      <c r="P167" s="3">
        <v>0</v>
      </c>
      <c r="Q167" s="3">
        <v>0</v>
      </c>
      <c r="R167" s="3">
        <v>0</v>
      </c>
      <c r="S167" s="3">
        <f t="shared" si="86"/>
        <v>0</v>
      </c>
      <c r="T167" s="3">
        <f t="shared" si="87"/>
        <v>0</v>
      </c>
      <c r="U167" s="3">
        <f t="shared" si="88"/>
        <v>0</v>
      </c>
      <c r="V167" s="3">
        <f t="shared" si="89"/>
        <v>0</v>
      </c>
      <c r="W167" s="3">
        <f t="shared" si="91"/>
        <v>0</v>
      </c>
      <c r="X167" s="3">
        <f t="shared" si="92"/>
        <v>0</v>
      </c>
      <c r="Y167" s="3">
        <f t="shared" si="90"/>
        <v>0</v>
      </c>
      <c r="Z167" s="2">
        <v>5</v>
      </c>
    </row>
    <row r="168" spans="1:26" hidden="1" x14ac:dyDescent="0.25">
      <c r="A168" s="2">
        <v>268</v>
      </c>
      <c r="B168" s="2" t="s">
        <v>592</v>
      </c>
      <c r="C168" s="2" t="s">
        <v>14</v>
      </c>
      <c r="D168" s="2" t="s">
        <v>18</v>
      </c>
      <c r="E168" s="8" t="s">
        <v>761</v>
      </c>
      <c r="F168" s="2" t="s">
        <v>20</v>
      </c>
      <c r="G168" s="2" t="s">
        <v>50</v>
      </c>
      <c r="H168" s="4"/>
      <c r="I168" s="51">
        <v>0</v>
      </c>
      <c r="J168" s="262">
        <v>0</v>
      </c>
      <c r="K168" s="264">
        <v>0</v>
      </c>
      <c r="L168" s="3"/>
      <c r="M168" s="3">
        <f t="shared" si="83"/>
        <v>0</v>
      </c>
      <c r="N168" s="3">
        <f t="shared" si="84"/>
        <v>0</v>
      </c>
      <c r="O168" s="265">
        <f t="shared" si="85"/>
        <v>0</v>
      </c>
      <c r="P168" s="3">
        <v>0</v>
      </c>
      <c r="Q168" s="3">
        <v>0</v>
      </c>
      <c r="R168" s="3">
        <v>0</v>
      </c>
      <c r="S168" s="3">
        <f t="shared" si="86"/>
        <v>0</v>
      </c>
      <c r="T168" s="3">
        <f t="shared" si="87"/>
        <v>0</v>
      </c>
      <c r="U168" s="3">
        <f t="shared" si="88"/>
        <v>0</v>
      </c>
      <c r="V168" s="3">
        <f t="shared" si="89"/>
        <v>0</v>
      </c>
      <c r="W168" s="3">
        <f t="shared" si="91"/>
        <v>0</v>
      </c>
      <c r="X168" s="3">
        <f t="shared" si="92"/>
        <v>0</v>
      </c>
      <c r="Y168" s="3">
        <f t="shared" si="90"/>
        <v>0</v>
      </c>
      <c r="Z168" s="2">
        <v>5</v>
      </c>
    </row>
    <row r="169" spans="1:26" hidden="1" x14ac:dyDescent="0.25">
      <c r="A169" s="2">
        <v>269</v>
      </c>
      <c r="B169" s="2" t="s">
        <v>593</v>
      </c>
      <c r="C169" s="2" t="s">
        <v>14</v>
      </c>
      <c r="D169" s="2" t="s">
        <v>19</v>
      </c>
      <c r="E169" s="8" t="s">
        <v>761</v>
      </c>
      <c r="F169" s="2" t="s">
        <v>20</v>
      </c>
      <c r="G169" s="2" t="s">
        <v>50</v>
      </c>
      <c r="H169" s="4">
        <v>44950</v>
      </c>
      <c r="I169" s="51">
        <v>0</v>
      </c>
      <c r="J169" s="262">
        <v>0</v>
      </c>
      <c r="K169" s="264">
        <v>0</v>
      </c>
      <c r="L169" s="3">
        <v>0</v>
      </c>
      <c r="M169" s="3">
        <f t="shared" si="83"/>
        <v>0</v>
      </c>
      <c r="N169" s="3">
        <f t="shared" si="84"/>
        <v>0</v>
      </c>
      <c r="O169" s="265">
        <f t="shared" si="85"/>
        <v>0</v>
      </c>
      <c r="P169" s="3">
        <v>0</v>
      </c>
      <c r="Q169" s="3">
        <v>0</v>
      </c>
      <c r="R169" s="3">
        <v>0</v>
      </c>
      <c r="S169" s="3">
        <f t="shared" si="86"/>
        <v>0</v>
      </c>
      <c r="T169" s="3">
        <f t="shared" si="87"/>
        <v>0</v>
      </c>
      <c r="U169" s="3">
        <f t="shared" si="88"/>
        <v>0</v>
      </c>
      <c r="V169" s="3">
        <f t="shared" si="89"/>
        <v>0</v>
      </c>
      <c r="W169" s="3">
        <f t="shared" si="91"/>
        <v>0</v>
      </c>
      <c r="X169" s="3">
        <f t="shared" si="92"/>
        <v>0</v>
      </c>
      <c r="Y169" s="3">
        <f t="shared" si="90"/>
        <v>0</v>
      </c>
      <c r="Z169" s="2">
        <v>5</v>
      </c>
    </row>
    <row r="170" spans="1:26" hidden="1" x14ac:dyDescent="0.25">
      <c r="A170" s="2">
        <v>270</v>
      </c>
      <c r="B170" s="2" t="s">
        <v>594</v>
      </c>
      <c r="C170" s="2" t="s">
        <v>24</v>
      </c>
      <c r="D170" s="2" t="s">
        <v>14</v>
      </c>
      <c r="E170" s="2" t="s">
        <v>22</v>
      </c>
      <c r="F170" s="2" t="s">
        <v>30</v>
      </c>
      <c r="G170" s="2" t="s">
        <v>50</v>
      </c>
      <c r="H170" s="4">
        <v>45221</v>
      </c>
      <c r="I170" s="51">
        <v>0</v>
      </c>
      <c r="J170" s="262">
        <v>0</v>
      </c>
      <c r="K170" s="264">
        <v>0</v>
      </c>
      <c r="L170" s="3">
        <f>52*1.25</f>
        <v>65</v>
      </c>
      <c r="M170" s="3">
        <f t="shared" si="83"/>
        <v>0</v>
      </c>
      <c r="N170" s="3">
        <f t="shared" si="84"/>
        <v>0</v>
      </c>
      <c r="O170" s="265">
        <f t="shared" si="85"/>
        <v>65</v>
      </c>
      <c r="P170" s="3">
        <v>0</v>
      </c>
      <c r="Q170" s="3">
        <v>30</v>
      </c>
      <c r="R170" s="3">
        <v>0</v>
      </c>
      <c r="S170" s="3">
        <f t="shared" si="86"/>
        <v>95</v>
      </c>
      <c r="T170" s="3">
        <f t="shared" si="87"/>
        <v>9.5</v>
      </c>
      <c r="U170" s="3">
        <f t="shared" si="88"/>
        <v>4.75</v>
      </c>
      <c r="V170" s="3">
        <f t="shared" si="89"/>
        <v>38</v>
      </c>
      <c r="W170" s="3">
        <f t="shared" si="91"/>
        <v>52.25</v>
      </c>
      <c r="X170" s="3">
        <f t="shared" si="92"/>
        <v>109.25</v>
      </c>
      <c r="Y170" s="3">
        <f t="shared" si="90"/>
        <v>147.25</v>
      </c>
      <c r="Z170" s="2">
        <v>2</v>
      </c>
    </row>
    <row r="171" spans="1:26" hidden="1" x14ac:dyDescent="0.25">
      <c r="A171" s="2">
        <v>271</v>
      </c>
      <c r="B171" s="2" t="s">
        <v>595</v>
      </c>
      <c r="C171" s="2" t="s">
        <v>25</v>
      </c>
      <c r="D171" s="2" t="s">
        <v>14</v>
      </c>
      <c r="E171" s="2" t="s">
        <v>22</v>
      </c>
      <c r="F171" s="2" t="s">
        <v>30</v>
      </c>
      <c r="G171" s="2" t="s">
        <v>50</v>
      </c>
      <c r="H171" s="4">
        <v>45267</v>
      </c>
      <c r="I171" s="51">
        <v>0</v>
      </c>
      <c r="J171" s="262">
        <v>0</v>
      </c>
      <c r="K171" s="264">
        <v>0</v>
      </c>
      <c r="L171" s="3">
        <f>94*1.25</f>
        <v>117.5</v>
      </c>
      <c r="M171" s="3">
        <f t="shared" si="83"/>
        <v>0</v>
      </c>
      <c r="N171" s="3">
        <f t="shared" si="84"/>
        <v>0</v>
      </c>
      <c r="O171" s="265">
        <f t="shared" si="85"/>
        <v>117.5</v>
      </c>
      <c r="P171" s="3">
        <v>0</v>
      </c>
      <c r="Q171" s="3">
        <v>30</v>
      </c>
      <c r="R171" s="3">
        <v>0</v>
      </c>
      <c r="S171" s="3">
        <f t="shared" si="86"/>
        <v>147.5</v>
      </c>
      <c r="T171" s="3">
        <f t="shared" si="87"/>
        <v>14.75</v>
      </c>
      <c r="U171" s="3">
        <f t="shared" si="88"/>
        <v>7.375</v>
      </c>
      <c r="V171" s="3">
        <f t="shared" si="89"/>
        <v>59</v>
      </c>
      <c r="W171" s="3">
        <f t="shared" si="91"/>
        <v>81.125</v>
      </c>
      <c r="X171" s="3">
        <f t="shared" si="92"/>
        <v>169.625</v>
      </c>
      <c r="Y171" s="3">
        <f t="shared" si="90"/>
        <v>228.625</v>
      </c>
      <c r="Z171" s="2">
        <v>2</v>
      </c>
    </row>
    <row r="172" spans="1:26" hidden="1" x14ac:dyDescent="0.25">
      <c r="A172" s="2">
        <v>272</v>
      </c>
      <c r="B172" s="2" t="s">
        <v>596</v>
      </c>
      <c r="C172" s="2" t="s">
        <v>26</v>
      </c>
      <c r="D172" s="2" t="s">
        <v>14</v>
      </c>
      <c r="E172" s="2" t="s">
        <v>22</v>
      </c>
      <c r="F172" s="2" t="s">
        <v>30</v>
      </c>
      <c r="G172" s="2" t="s">
        <v>50</v>
      </c>
      <c r="H172" s="4">
        <v>45267</v>
      </c>
      <c r="I172" s="51">
        <v>0</v>
      </c>
      <c r="J172" s="262">
        <v>0</v>
      </c>
      <c r="K172" s="264">
        <v>0</v>
      </c>
      <c r="L172" s="3">
        <f>122*1.25</f>
        <v>152.5</v>
      </c>
      <c r="M172" s="3">
        <f t="shared" si="83"/>
        <v>0</v>
      </c>
      <c r="N172" s="3">
        <f t="shared" si="84"/>
        <v>0</v>
      </c>
      <c r="O172" s="265">
        <f t="shared" si="85"/>
        <v>152.5</v>
      </c>
      <c r="P172" s="3">
        <v>0</v>
      </c>
      <c r="Q172" s="3">
        <v>30</v>
      </c>
      <c r="R172" s="3">
        <v>0</v>
      </c>
      <c r="S172" s="3">
        <f t="shared" si="86"/>
        <v>182.5</v>
      </c>
      <c r="T172" s="3">
        <f t="shared" si="87"/>
        <v>18.25</v>
      </c>
      <c r="U172" s="3">
        <f t="shared" si="88"/>
        <v>9.125</v>
      </c>
      <c r="V172" s="3">
        <f t="shared" si="89"/>
        <v>73</v>
      </c>
      <c r="W172" s="3">
        <f t="shared" si="91"/>
        <v>100.375</v>
      </c>
      <c r="X172" s="3">
        <f t="shared" si="92"/>
        <v>209.875</v>
      </c>
      <c r="Y172" s="3">
        <f t="shared" si="90"/>
        <v>282.875</v>
      </c>
      <c r="Z172" s="2">
        <v>2.5</v>
      </c>
    </row>
    <row r="173" spans="1:26" hidden="1" x14ac:dyDescent="0.25">
      <c r="A173" s="2">
        <v>273</v>
      </c>
      <c r="B173" s="2" t="s">
        <v>597</v>
      </c>
      <c r="C173" s="2" t="s">
        <v>27</v>
      </c>
      <c r="D173" s="2" t="s">
        <v>14</v>
      </c>
      <c r="E173" s="2" t="s">
        <v>22</v>
      </c>
      <c r="F173" s="2" t="s">
        <v>30</v>
      </c>
      <c r="G173" s="2" t="s">
        <v>50</v>
      </c>
      <c r="H173" s="4">
        <v>45267</v>
      </c>
      <c r="I173" s="51">
        <v>0</v>
      </c>
      <c r="J173" s="262">
        <v>0</v>
      </c>
      <c r="K173" s="264">
        <v>0</v>
      </c>
      <c r="L173" s="3">
        <f>179*1.25</f>
        <v>223.75</v>
      </c>
      <c r="M173" s="3">
        <f t="shared" si="83"/>
        <v>0</v>
      </c>
      <c r="N173" s="3">
        <f t="shared" si="84"/>
        <v>0</v>
      </c>
      <c r="O173" s="265">
        <f t="shared" si="85"/>
        <v>223.75</v>
      </c>
      <c r="P173" s="3">
        <v>0</v>
      </c>
      <c r="Q173" s="3">
        <v>30</v>
      </c>
      <c r="R173" s="3">
        <v>0</v>
      </c>
      <c r="S173" s="3">
        <f t="shared" si="86"/>
        <v>253.75</v>
      </c>
      <c r="T173" s="3">
        <f t="shared" si="87"/>
        <v>25.375</v>
      </c>
      <c r="U173" s="3">
        <f t="shared" si="88"/>
        <v>12.6875</v>
      </c>
      <c r="V173" s="3">
        <f t="shared" si="89"/>
        <v>101.5</v>
      </c>
      <c r="W173" s="3">
        <f t="shared" si="91"/>
        <v>139.5625</v>
      </c>
      <c r="X173" s="3">
        <f t="shared" si="92"/>
        <v>291.8125</v>
      </c>
      <c r="Y173" s="3">
        <f t="shared" si="90"/>
        <v>393.3125</v>
      </c>
      <c r="Z173" s="2">
        <v>2.5</v>
      </c>
    </row>
    <row r="174" spans="1:26" hidden="1" x14ac:dyDescent="0.25">
      <c r="A174" s="2">
        <v>274</v>
      </c>
      <c r="B174" s="2" t="s">
        <v>598</v>
      </c>
      <c r="C174" s="2" t="s">
        <v>28</v>
      </c>
      <c r="D174" s="2" t="s">
        <v>14</v>
      </c>
      <c r="E174" s="2" t="s">
        <v>22</v>
      </c>
      <c r="F174" s="2" t="s">
        <v>30</v>
      </c>
      <c r="G174" s="2" t="s">
        <v>50</v>
      </c>
      <c r="H174" s="4"/>
      <c r="I174" s="51">
        <v>0</v>
      </c>
      <c r="J174" s="262">
        <v>0</v>
      </c>
      <c r="K174" s="264">
        <v>0</v>
      </c>
      <c r="L174" s="3">
        <v>0</v>
      </c>
      <c r="M174" s="3">
        <f t="shared" si="83"/>
        <v>0</v>
      </c>
      <c r="N174" s="3">
        <f t="shared" si="84"/>
        <v>0</v>
      </c>
      <c r="O174" s="265">
        <f t="shared" si="85"/>
        <v>0</v>
      </c>
      <c r="P174" s="3">
        <v>0</v>
      </c>
      <c r="Q174" s="196"/>
      <c r="R174" s="3">
        <v>0</v>
      </c>
      <c r="S174" s="3">
        <f t="shared" si="86"/>
        <v>0</v>
      </c>
      <c r="T174" s="3">
        <f t="shared" si="87"/>
        <v>0</v>
      </c>
      <c r="U174" s="3">
        <f t="shared" si="88"/>
        <v>0</v>
      </c>
      <c r="V174" s="3">
        <f t="shared" si="89"/>
        <v>0</v>
      </c>
      <c r="W174" s="3">
        <f t="shared" si="91"/>
        <v>0</v>
      </c>
      <c r="X174" s="3">
        <f t="shared" si="92"/>
        <v>0</v>
      </c>
      <c r="Y174" s="3">
        <f t="shared" si="90"/>
        <v>0</v>
      </c>
      <c r="Z174" s="2">
        <v>5</v>
      </c>
    </row>
    <row r="175" spans="1:26" hidden="1" x14ac:dyDescent="0.25">
      <c r="A175" s="2">
        <v>275</v>
      </c>
      <c r="B175" s="2" t="s">
        <v>599</v>
      </c>
      <c r="C175" s="2" t="s">
        <v>29</v>
      </c>
      <c r="D175" s="2" t="s">
        <v>14</v>
      </c>
      <c r="E175" s="2" t="s">
        <v>22</v>
      </c>
      <c r="F175" s="2" t="s">
        <v>30</v>
      </c>
      <c r="G175" s="2" t="s">
        <v>50</v>
      </c>
      <c r="H175" s="4">
        <v>45267</v>
      </c>
      <c r="I175" s="51">
        <v>0</v>
      </c>
      <c r="J175" s="262">
        <v>0</v>
      </c>
      <c r="K175" s="264">
        <v>0</v>
      </c>
      <c r="L175" s="3">
        <f>580*1.25</f>
        <v>725</v>
      </c>
      <c r="M175" s="3">
        <f t="shared" si="83"/>
        <v>0</v>
      </c>
      <c r="N175" s="3">
        <f t="shared" si="84"/>
        <v>0</v>
      </c>
      <c r="O175" s="265">
        <f t="shared" si="85"/>
        <v>725</v>
      </c>
      <c r="P175" s="3">
        <v>0</v>
      </c>
      <c r="Q175" s="3">
        <v>150</v>
      </c>
      <c r="R175" s="3">
        <v>0</v>
      </c>
      <c r="S175" s="3">
        <f t="shared" si="86"/>
        <v>875</v>
      </c>
      <c r="T175" s="3">
        <f t="shared" si="87"/>
        <v>87.5</v>
      </c>
      <c r="U175" s="3">
        <f t="shared" si="88"/>
        <v>43.75</v>
      </c>
      <c r="V175" s="3">
        <f t="shared" si="89"/>
        <v>350</v>
      </c>
      <c r="W175" s="3">
        <f t="shared" si="91"/>
        <v>481.25</v>
      </c>
      <c r="X175" s="3">
        <f t="shared" si="92"/>
        <v>1006.25</v>
      </c>
      <c r="Y175" s="3">
        <f t="shared" si="90"/>
        <v>1356.25</v>
      </c>
      <c r="Z175" s="2">
        <v>5</v>
      </c>
    </row>
    <row r="176" spans="1:26" hidden="1" x14ac:dyDescent="0.25">
      <c r="A176" s="2">
        <v>276</v>
      </c>
      <c r="B176" s="2" t="s">
        <v>600</v>
      </c>
      <c r="C176" s="2" t="s">
        <v>24</v>
      </c>
      <c r="D176" s="2" t="s">
        <v>14</v>
      </c>
      <c r="E176" s="2" t="s">
        <v>22</v>
      </c>
      <c r="F176" s="2" t="s">
        <v>30</v>
      </c>
      <c r="G176" s="2" t="s">
        <v>50</v>
      </c>
      <c r="H176" s="4">
        <v>45267</v>
      </c>
      <c r="I176" s="51">
        <v>0</v>
      </c>
      <c r="J176" s="262">
        <v>0</v>
      </c>
      <c r="K176" s="264">
        <v>0</v>
      </c>
      <c r="L176" s="3">
        <f>193*1.25</f>
        <v>241.25</v>
      </c>
      <c r="M176" s="3">
        <f t="shared" si="83"/>
        <v>0</v>
      </c>
      <c r="N176" s="3">
        <f t="shared" si="84"/>
        <v>0</v>
      </c>
      <c r="O176" s="265">
        <f t="shared" si="85"/>
        <v>241.25</v>
      </c>
      <c r="P176" s="3">
        <v>0</v>
      </c>
      <c r="Q176" s="3">
        <v>30</v>
      </c>
      <c r="R176" s="3">
        <v>0</v>
      </c>
      <c r="S176" s="3">
        <f t="shared" si="86"/>
        <v>271.25</v>
      </c>
      <c r="T176" s="3">
        <f t="shared" si="87"/>
        <v>27.125</v>
      </c>
      <c r="U176" s="3">
        <f t="shared" si="88"/>
        <v>13.5625</v>
      </c>
      <c r="V176" s="3">
        <f t="shared" si="89"/>
        <v>108.5</v>
      </c>
      <c r="W176" s="3">
        <f t="shared" si="91"/>
        <v>149.1875</v>
      </c>
      <c r="X176" s="3">
        <f t="shared" si="92"/>
        <v>311.9375</v>
      </c>
      <c r="Y176" s="3">
        <f t="shared" si="90"/>
        <v>420.4375</v>
      </c>
      <c r="Z176" s="2">
        <v>2</v>
      </c>
    </row>
    <row r="177" spans="1:26" hidden="1" x14ac:dyDescent="0.25">
      <c r="A177" s="2">
        <v>277</v>
      </c>
      <c r="B177" s="2" t="s">
        <v>601</v>
      </c>
      <c r="C177" s="2" t="s">
        <v>25</v>
      </c>
      <c r="D177" s="2" t="s">
        <v>14</v>
      </c>
      <c r="E177" s="2" t="s">
        <v>22</v>
      </c>
      <c r="F177" s="2" t="s">
        <v>30</v>
      </c>
      <c r="G177" s="2" t="s">
        <v>50</v>
      </c>
      <c r="H177" s="4">
        <v>45267</v>
      </c>
      <c r="I177" s="51">
        <v>0</v>
      </c>
      <c r="J177" s="262">
        <v>0</v>
      </c>
      <c r="K177" s="264">
        <v>0</v>
      </c>
      <c r="L177" s="3">
        <f>286*1.25</f>
        <v>357.5</v>
      </c>
      <c r="M177" s="3">
        <f t="shared" si="83"/>
        <v>0</v>
      </c>
      <c r="N177" s="3">
        <f t="shared" si="84"/>
        <v>0</v>
      </c>
      <c r="O177" s="265">
        <f t="shared" si="85"/>
        <v>357.5</v>
      </c>
      <c r="P177" s="3">
        <v>0</v>
      </c>
      <c r="Q177" s="3">
        <v>30</v>
      </c>
      <c r="R177" s="3">
        <v>0</v>
      </c>
      <c r="S177" s="3">
        <f t="shared" si="86"/>
        <v>387.5</v>
      </c>
      <c r="T177" s="3">
        <f t="shared" si="87"/>
        <v>38.75</v>
      </c>
      <c r="U177" s="3">
        <f t="shared" si="88"/>
        <v>19.375</v>
      </c>
      <c r="V177" s="3">
        <f t="shared" si="89"/>
        <v>155</v>
      </c>
      <c r="W177" s="3">
        <f t="shared" si="91"/>
        <v>213.125</v>
      </c>
      <c r="X177" s="3">
        <f t="shared" si="92"/>
        <v>445.625</v>
      </c>
      <c r="Y177" s="3">
        <f t="shared" si="90"/>
        <v>600.625</v>
      </c>
      <c r="Z177" s="2">
        <v>2</v>
      </c>
    </row>
    <row r="178" spans="1:26" hidden="1" x14ac:dyDescent="0.25">
      <c r="A178" s="2">
        <v>278</v>
      </c>
      <c r="B178" s="2" t="s">
        <v>602</v>
      </c>
      <c r="C178" s="2" t="s">
        <v>26</v>
      </c>
      <c r="D178" s="2" t="s">
        <v>14</v>
      </c>
      <c r="E178" s="2" t="s">
        <v>22</v>
      </c>
      <c r="F178" s="2" t="s">
        <v>30</v>
      </c>
      <c r="G178" s="2" t="s">
        <v>50</v>
      </c>
      <c r="H178" s="4">
        <v>45130</v>
      </c>
      <c r="I178" s="51">
        <v>0</v>
      </c>
      <c r="J178" s="262">
        <v>0</v>
      </c>
      <c r="K178" s="264">
        <v>0</v>
      </c>
      <c r="L178" s="3">
        <f>300*1.25</f>
        <v>375</v>
      </c>
      <c r="M178" s="3">
        <f t="shared" si="83"/>
        <v>0</v>
      </c>
      <c r="N178" s="3">
        <f t="shared" si="84"/>
        <v>0</v>
      </c>
      <c r="O178" s="265">
        <f t="shared" si="85"/>
        <v>375</v>
      </c>
      <c r="P178" s="3">
        <v>0</v>
      </c>
      <c r="Q178" s="3">
        <v>30</v>
      </c>
      <c r="R178" s="3">
        <v>0</v>
      </c>
      <c r="S178" s="3">
        <f t="shared" si="86"/>
        <v>405</v>
      </c>
      <c r="T178" s="3">
        <f t="shared" si="87"/>
        <v>40.5</v>
      </c>
      <c r="U178" s="3">
        <f t="shared" si="88"/>
        <v>20.25</v>
      </c>
      <c r="V178" s="3">
        <f t="shared" si="89"/>
        <v>162</v>
      </c>
      <c r="W178" s="3">
        <f t="shared" si="91"/>
        <v>222.75</v>
      </c>
      <c r="X178" s="3">
        <f t="shared" si="92"/>
        <v>465.75</v>
      </c>
      <c r="Y178" s="3">
        <f t="shared" si="90"/>
        <v>627.75</v>
      </c>
      <c r="Z178" s="2">
        <v>2.5</v>
      </c>
    </row>
    <row r="179" spans="1:26" hidden="1" x14ac:dyDescent="0.25">
      <c r="A179" s="2">
        <v>279</v>
      </c>
      <c r="B179" s="2" t="s">
        <v>603</v>
      </c>
      <c r="C179" s="2" t="s">
        <v>27</v>
      </c>
      <c r="D179" s="2" t="s">
        <v>14</v>
      </c>
      <c r="E179" s="2" t="s">
        <v>22</v>
      </c>
      <c r="F179" s="2" t="s">
        <v>30</v>
      </c>
      <c r="G179" s="2" t="s">
        <v>50</v>
      </c>
      <c r="H179" s="4"/>
      <c r="I179" s="51">
        <v>0</v>
      </c>
      <c r="J179" s="262">
        <v>0</v>
      </c>
      <c r="K179" s="264">
        <v>0</v>
      </c>
      <c r="L179" s="3">
        <f>606*1.25</f>
        <v>757.5</v>
      </c>
      <c r="M179" s="3">
        <f t="shared" si="83"/>
        <v>0</v>
      </c>
      <c r="N179" s="3">
        <f t="shared" si="84"/>
        <v>0</v>
      </c>
      <c r="O179" s="265">
        <f t="shared" si="85"/>
        <v>757.5</v>
      </c>
      <c r="P179" s="3">
        <v>0</v>
      </c>
      <c r="Q179" s="3">
        <v>30</v>
      </c>
      <c r="R179" s="3">
        <v>0</v>
      </c>
      <c r="S179" s="3">
        <f t="shared" si="86"/>
        <v>787.5</v>
      </c>
      <c r="T179" s="3">
        <f t="shared" si="87"/>
        <v>78.75</v>
      </c>
      <c r="U179" s="3">
        <f t="shared" si="88"/>
        <v>39.375</v>
      </c>
      <c r="V179" s="3">
        <f t="shared" si="89"/>
        <v>315</v>
      </c>
      <c r="W179" s="3">
        <f t="shared" si="91"/>
        <v>433.125</v>
      </c>
      <c r="X179" s="3">
        <f t="shared" si="92"/>
        <v>905.625</v>
      </c>
      <c r="Y179" s="3">
        <f t="shared" si="90"/>
        <v>1220.625</v>
      </c>
      <c r="Z179" s="2">
        <v>2.5</v>
      </c>
    </row>
    <row r="180" spans="1:26" hidden="1" x14ac:dyDescent="0.25">
      <c r="A180" s="2">
        <v>280</v>
      </c>
      <c r="B180" s="2" t="s">
        <v>604</v>
      </c>
      <c r="C180" s="2" t="s">
        <v>28</v>
      </c>
      <c r="D180" s="2" t="s">
        <v>14</v>
      </c>
      <c r="E180" s="2" t="s">
        <v>22</v>
      </c>
      <c r="F180" s="2" t="s">
        <v>30</v>
      </c>
      <c r="G180" s="2" t="s">
        <v>50</v>
      </c>
      <c r="H180" s="4"/>
      <c r="I180" s="51">
        <v>0</v>
      </c>
      <c r="J180" s="262">
        <v>0</v>
      </c>
      <c r="K180" s="264">
        <v>0</v>
      </c>
      <c r="L180" s="3">
        <v>0</v>
      </c>
      <c r="M180" s="3">
        <f t="shared" si="83"/>
        <v>0</v>
      </c>
      <c r="N180" s="3">
        <f t="shared" si="84"/>
        <v>0</v>
      </c>
      <c r="O180" s="265">
        <f t="shared" si="85"/>
        <v>0</v>
      </c>
      <c r="P180" s="3">
        <v>0</v>
      </c>
      <c r="Q180" s="196"/>
      <c r="R180" s="3">
        <v>0</v>
      </c>
      <c r="S180" s="3">
        <f t="shared" si="86"/>
        <v>0</v>
      </c>
      <c r="T180" s="3">
        <f t="shared" si="87"/>
        <v>0</v>
      </c>
      <c r="U180" s="3">
        <f t="shared" si="88"/>
        <v>0</v>
      </c>
      <c r="V180" s="3">
        <f t="shared" si="89"/>
        <v>0</v>
      </c>
      <c r="W180" s="3">
        <f t="shared" si="91"/>
        <v>0</v>
      </c>
      <c r="X180" s="3">
        <f t="shared" si="92"/>
        <v>0</v>
      </c>
      <c r="Y180" s="3">
        <f t="shared" si="90"/>
        <v>0</v>
      </c>
      <c r="Z180" s="2">
        <v>5</v>
      </c>
    </row>
    <row r="181" spans="1:26" hidden="1" x14ac:dyDescent="0.25">
      <c r="A181" s="2">
        <v>281</v>
      </c>
      <c r="B181" s="2" t="s">
        <v>605</v>
      </c>
      <c r="C181" s="2" t="s">
        <v>29</v>
      </c>
      <c r="D181" s="2" t="s">
        <v>14</v>
      </c>
      <c r="E181" s="2" t="s">
        <v>22</v>
      </c>
      <c r="F181" s="2" t="s">
        <v>30</v>
      </c>
      <c r="G181" s="2" t="s">
        <v>50</v>
      </c>
      <c r="H181" s="4"/>
      <c r="I181" s="51">
        <v>0</v>
      </c>
      <c r="J181" s="262">
        <v>0</v>
      </c>
      <c r="K181" s="264">
        <v>0</v>
      </c>
      <c r="L181" s="3">
        <v>0</v>
      </c>
      <c r="M181" s="3">
        <f t="shared" si="83"/>
        <v>0</v>
      </c>
      <c r="N181" s="3">
        <f t="shared" si="84"/>
        <v>0</v>
      </c>
      <c r="O181" s="265">
        <f t="shared" si="85"/>
        <v>0</v>
      </c>
      <c r="P181" s="3">
        <v>0</v>
      </c>
      <c r="Q181" s="196"/>
      <c r="R181" s="3">
        <v>0</v>
      </c>
      <c r="S181" s="3">
        <f t="shared" si="86"/>
        <v>0</v>
      </c>
      <c r="T181" s="3">
        <f t="shared" si="87"/>
        <v>0</v>
      </c>
      <c r="U181" s="3">
        <f t="shared" si="88"/>
        <v>0</v>
      </c>
      <c r="V181" s="3">
        <f t="shared" si="89"/>
        <v>0</v>
      </c>
      <c r="W181" s="3">
        <f t="shared" si="91"/>
        <v>0</v>
      </c>
      <c r="X181" s="3">
        <f t="shared" si="92"/>
        <v>0</v>
      </c>
      <c r="Y181" s="3">
        <f t="shared" si="90"/>
        <v>0</v>
      </c>
      <c r="Z181" s="2">
        <v>5</v>
      </c>
    </row>
    <row r="182" spans="1:26" hidden="1" x14ac:dyDescent="0.25">
      <c r="A182" s="2">
        <v>284</v>
      </c>
      <c r="B182" s="2" t="s">
        <v>606</v>
      </c>
      <c r="C182" s="2" t="s">
        <v>26</v>
      </c>
      <c r="D182" s="2" t="s">
        <v>14</v>
      </c>
      <c r="E182" s="8" t="s">
        <v>761</v>
      </c>
      <c r="F182" s="2" t="s">
        <v>35</v>
      </c>
      <c r="G182" s="2" t="s">
        <v>823</v>
      </c>
      <c r="H182" s="4">
        <v>45910</v>
      </c>
      <c r="I182" s="51">
        <v>140</v>
      </c>
      <c r="J182" s="262">
        <v>0</v>
      </c>
      <c r="K182" s="264">
        <v>0</v>
      </c>
      <c r="L182" s="3"/>
      <c r="M182" s="3">
        <f t="shared" si="83"/>
        <v>79.169999999999987</v>
      </c>
      <c r="N182" s="3">
        <f t="shared" si="84"/>
        <v>105.56</v>
      </c>
      <c r="O182" s="265">
        <f t="shared" si="85"/>
        <v>712.53</v>
      </c>
      <c r="P182" s="3">
        <v>0</v>
      </c>
      <c r="Q182" s="3">
        <v>30</v>
      </c>
      <c r="R182" s="3">
        <v>0</v>
      </c>
      <c r="S182" s="3">
        <f t="shared" si="86"/>
        <v>742.53</v>
      </c>
      <c r="T182" s="3">
        <f t="shared" si="87"/>
        <v>74.253</v>
      </c>
      <c r="U182" s="3">
        <f t="shared" si="88"/>
        <v>37.1265</v>
      </c>
      <c r="V182" s="3">
        <f t="shared" si="89"/>
        <v>297.012</v>
      </c>
      <c r="W182" s="3">
        <f t="shared" si="91"/>
        <v>408.39150000000001</v>
      </c>
      <c r="X182" s="3">
        <f t="shared" si="92"/>
        <v>853.90949999999998</v>
      </c>
      <c r="Y182" s="3">
        <f t="shared" si="90"/>
        <v>1150.9214999999999</v>
      </c>
      <c r="Z182" s="2">
        <v>2</v>
      </c>
    </row>
    <row r="183" spans="1:26" hidden="1" x14ac:dyDescent="0.25">
      <c r="A183" s="2">
        <v>285</v>
      </c>
      <c r="B183" s="2" t="s">
        <v>607</v>
      </c>
      <c r="C183" s="2" t="s">
        <v>27</v>
      </c>
      <c r="D183" s="2" t="s">
        <v>14</v>
      </c>
      <c r="E183" s="8" t="s">
        <v>761</v>
      </c>
      <c r="F183" s="2" t="s">
        <v>35</v>
      </c>
      <c r="G183" s="2" t="s">
        <v>823</v>
      </c>
      <c r="H183" s="4"/>
      <c r="I183" s="51">
        <v>350</v>
      </c>
      <c r="J183" s="262">
        <v>0</v>
      </c>
      <c r="K183" s="264">
        <v>0</v>
      </c>
      <c r="L183" s="3">
        <v>0</v>
      </c>
      <c r="M183" s="3">
        <f t="shared" si="83"/>
        <v>197.92499999999998</v>
      </c>
      <c r="N183" s="3">
        <f t="shared" si="84"/>
        <v>263.90000000000003</v>
      </c>
      <c r="O183" s="265">
        <f t="shared" si="85"/>
        <v>1781.325</v>
      </c>
      <c r="P183" s="3">
        <v>0</v>
      </c>
      <c r="Q183" s="3">
        <v>30</v>
      </c>
      <c r="R183" s="3">
        <v>0</v>
      </c>
      <c r="S183" s="3">
        <f t="shared" si="86"/>
        <v>1811.325</v>
      </c>
      <c r="T183" s="3">
        <f t="shared" si="87"/>
        <v>181.13250000000002</v>
      </c>
      <c r="U183" s="3">
        <f t="shared" si="88"/>
        <v>90.566250000000011</v>
      </c>
      <c r="V183" s="3">
        <f t="shared" si="89"/>
        <v>724.53000000000009</v>
      </c>
      <c r="W183" s="3">
        <f t="shared" si="91"/>
        <v>996.2287500000001</v>
      </c>
      <c r="X183" s="3">
        <f t="shared" si="92"/>
        <v>2083.0237499999998</v>
      </c>
      <c r="Y183" s="3">
        <f t="shared" si="90"/>
        <v>2807.55375</v>
      </c>
      <c r="Z183" s="2">
        <v>2.5</v>
      </c>
    </row>
    <row r="184" spans="1:26" hidden="1" x14ac:dyDescent="0.25">
      <c r="A184" s="2">
        <v>286</v>
      </c>
      <c r="B184" s="2" t="s">
        <v>608</v>
      </c>
      <c r="C184" s="2" t="s">
        <v>28</v>
      </c>
      <c r="D184" s="2" t="s">
        <v>14</v>
      </c>
      <c r="E184" s="8" t="s">
        <v>761</v>
      </c>
      <c r="F184" s="2" t="s">
        <v>35</v>
      </c>
      <c r="G184" s="2" t="s">
        <v>823</v>
      </c>
      <c r="H184" s="4"/>
      <c r="I184" s="51">
        <v>0</v>
      </c>
      <c r="J184" s="262">
        <v>0</v>
      </c>
      <c r="K184" s="264">
        <v>0</v>
      </c>
      <c r="L184" s="3">
        <v>0</v>
      </c>
      <c r="M184" s="3">
        <f t="shared" si="83"/>
        <v>0</v>
      </c>
      <c r="N184" s="3">
        <f t="shared" si="84"/>
        <v>0</v>
      </c>
      <c r="O184" s="265">
        <f t="shared" si="85"/>
        <v>0</v>
      </c>
      <c r="P184" s="3">
        <v>0</v>
      </c>
      <c r="Q184" s="196"/>
      <c r="R184" s="3">
        <v>0</v>
      </c>
      <c r="S184" s="3">
        <f t="shared" si="86"/>
        <v>0</v>
      </c>
      <c r="T184" s="3">
        <f t="shared" si="87"/>
        <v>0</v>
      </c>
      <c r="U184" s="3">
        <f t="shared" si="88"/>
        <v>0</v>
      </c>
      <c r="V184" s="3">
        <f t="shared" si="89"/>
        <v>0</v>
      </c>
      <c r="W184" s="3">
        <f t="shared" si="91"/>
        <v>0</v>
      </c>
      <c r="X184" s="3">
        <f t="shared" si="92"/>
        <v>0</v>
      </c>
      <c r="Y184" s="3">
        <f t="shared" si="90"/>
        <v>0</v>
      </c>
      <c r="Z184" s="2">
        <v>5</v>
      </c>
    </row>
    <row r="185" spans="1:26" hidden="1" x14ac:dyDescent="0.25">
      <c r="A185" s="2">
        <v>287</v>
      </c>
      <c r="B185" s="2" t="s">
        <v>609</v>
      </c>
      <c r="C185" s="2" t="s">
        <v>29</v>
      </c>
      <c r="D185" s="2" t="s">
        <v>14</v>
      </c>
      <c r="E185" s="8" t="s">
        <v>761</v>
      </c>
      <c r="F185" s="2" t="s">
        <v>35</v>
      </c>
      <c r="G185" s="2" t="s">
        <v>823</v>
      </c>
      <c r="H185" s="4"/>
      <c r="I185" s="51">
        <v>0</v>
      </c>
      <c r="J185" s="262">
        <v>0</v>
      </c>
      <c r="K185" s="264">
        <v>0</v>
      </c>
      <c r="L185" s="3">
        <v>0</v>
      </c>
      <c r="M185" s="3">
        <f t="shared" si="83"/>
        <v>0</v>
      </c>
      <c r="N185" s="3">
        <f t="shared" si="84"/>
        <v>0</v>
      </c>
      <c r="O185" s="265">
        <f t="shared" si="85"/>
        <v>0</v>
      </c>
      <c r="P185" s="3">
        <v>0</v>
      </c>
      <c r="Q185" s="196"/>
      <c r="R185" s="3">
        <v>0</v>
      </c>
      <c r="S185" s="3">
        <f t="shared" si="86"/>
        <v>0</v>
      </c>
      <c r="T185" s="3">
        <f t="shared" si="87"/>
        <v>0</v>
      </c>
      <c r="U185" s="3">
        <f t="shared" si="88"/>
        <v>0</v>
      </c>
      <c r="V185" s="3">
        <f t="shared" si="89"/>
        <v>0</v>
      </c>
      <c r="W185" s="3">
        <f t="shared" si="91"/>
        <v>0</v>
      </c>
      <c r="X185" s="3">
        <f t="shared" si="92"/>
        <v>0</v>
      </c>
      <c r="Y185" s="3">
        <f t="shared" si="90"/>
        <v>0</v>
      </c>
      <c r="Z185" s="2">
        <v>5</v>
      </c>
    </row>
    <row r="186" spans="1:26" hidden="1" x14ac:dyDescent="0.25">
      <c r="A186" s="2">
        <v>288</v>
      </c>
      <c r="B186" s="2" t="s">
        <v>637</v>
      </c>
      <c r="C186" s="2" t="s">
        <v>24</v>
      </c>
      <c r="D186" s="2" t="s">
        <v>14</v>
      </c>
      <c r="E186" s="2" t="s">
        <v>55</v>
      </c>
      <c r="F186" s="2" t="s">
        <v>56</v>
      </c>
      <c r="G186" s="2" t="s">
        <v>50</v>
      </c>
      <c r="H186" s="4">
        <v>45262</v>
      </c>
      <c r="I186" s="51">
        <v>0</v>
      </c>
      <c r="J186" s="262">
        <v>0</v>
      </c>
      <c r="K186" s="264">
        <v>0</v>
      </c>
      <c r="L186" s="5">
        <v>170</v>
      </c>
      <c r="M186" s="3">
        <f t="shared" si="83"/>
        <v>0</v>
      </c>
      <c r="N186" s="3">
        <f t="shared" si="84"/>
        <v>0</v>
      </c>
      <c r="O186" s="265">
        <f t="shared" ref="O186:O215" si="93">N186+M186+L186+1.1*K186+J186*4.3+I186*3.77</f>
        <v>170</v>
      </c>
      <c r="P186" s="3">
        <v>0</v>
      </c>
      <c r="Q186" s="3">
        <v>0</v>
      </c>
      <c r="R186" s="3">
        <v>0</v>
      </c>
      <c r="S186" s="3">
        <f t="shared" si="86"/>
        <v>170</v>
      </c>
      <c r="T186" s="3">
        <f t="shared" si="87"/>
        <v>17</v>
      </c>
      <c r="U186" s="3">
        <f t="shared" si="88"/>
        <v>8.5</v>
      </c>
      <c r="V186" s="3">
        <f t="shared" si="89"/>
        <v>68</v>
      </c>
      <c r="W186" s="3">
        <f t="shared" si="91"/>
        <v>93.5</v>
      </c>
      <c r="X186" s="3">
        <f t="shared" si="92"/>
        <v>195.5</v>
      </c>
      <c r="Y186" s="3">
        <f t="shared" si="90"/>
        <v>263.5</v>
      </c>
      <c r="Z186" s="2">
        <v>2</v>
      </c>
    </row>
    <row r="187" spans="1:26" hidden="1" x14ac:dyDescent="0.25">
      <c r="A187" s="2">
        <v>289</v>
      </c>
      <c r="B187" s="2" t="s">
        <v>638</v>
      </c>
      <c r="C187" s="2" t="s">
        <v>25</v>
      </c>
      <c r="D187" s="2" t="s">
        <v>14</v>
      </c>
      <c r="E187" s="2" t="s">
        <v>55</v>
      </c>
      <c r="F187" s="2" t="s">
        <v>56</v>
      </c>
      <c r="G187" s="2" t="s">
        <v>50</v>
      </c>
      <c r="H187" s="4"/>
      <c r="I187" s="51">
        <v>0</v>
      </c>
      <c r="J187" s="262">
        <v>0</v>
      </c>
      <c r="K187" s="264">
        <v>0</v>
      </c>
      <c r="L187" s="3">
        <v>250</v>
      </c>
      <c r="M187" s="3">
        <f t="shared" si="83"/>
        <v>0</v>
      </c>
      <c r="N187" s="3">
        <f t="shared" si="84"/>
        <v>0</v>
      </c>
      <c r="O187" s="265">
        <f t="shared" si="93"/>
        <v>250</v>
      </c>
      <c r="P187" s="3">
        <v>0</v>
      </c>
      <c r="Q187" s="3">
        <f t="shared" ref="Q187:Q188" si="94">0.5*O187</f>
        <v>125</v>
      </c>
      <c r="R187" s="3">
        <v>0</v>
      </c>
      <c r="S187" s="3">
        <f t="shared" si="86"/>
        <v>375</v>
      </c>
      <c r="T187" s="3">
        <f t="shared" si="87"/>
        <v>37.5</v>
      </c>
      <c r="U187" s="3">
        <f t="shared" si="88"/>
        <v>18.75</v>
      </c>
      <c r="V187" s="3">
        <f t="shared" si="89"/>
        <v>150</v>
      </c>
      <c r="W187" s="3">
        <f t="shared" si="91"/>
        <v>206.25</v>
      </c>
      <c r="X187" s="3">
        <f t="shared" si="92"/>
        <v>431.25</v>
      </c>
      <c r="Y187" s="3">
        <f t="shared" si="90"/>
        <v>581.25</v>
      </c>
      <c r="Z187" s="2">
        <v>2</v>
      </c>
    </row>
    <row r="188" spans="1:26" hidden="1" x14ac:dyDescent="0.25">
      <c r="A188" s="2">
        <v>290</v>
      </c>
      <c r="B188" s="2" t="s">
        <v>639</v>
      </c>
      <c r="C188" s="2" t="s">
        <v>26</v>
      </c>
      <c r="D188" s="2" t="s">
        <v>14</v>
      </c>
      <c r="E188" s="2" t="s">
        <v>55</v>
      </c>
      <c r="F188" s="2" t="s">
        <v>56</v>
      </c>
      <c r="G188" s="2" t="s">
        <v>50</v>
      </c>
      <c r="H188" s="4"/>
      <c r="I188" s="51">
        <v>0</v>
      </c>
      <c r="J188" s="262">
        <v>0</v>
      </c>
      <c r="K188" s="264">
        <v>0</v>
      </c>
      <c r="L188" s="3">
        <v>300</v>
      </c>
      <c r="M188" s="3">
        <f t="shared" si="83"/>
        <v>0</v>
      </c>
      <c r="N188" s="3">
        <f t="shared" si="84"/>
        <v>0</v>
      </c>
      <c r="O188" s="265">
        <f t="shared" si="93"/>
        <v>300</v>
      </c>
      <c r="P188" s="3">
        <v>0</v>
      </c>
      <c r="Q188" s="3">
        <f t="shared" si="94"/>
        <v>150</v>
      </c>
      <c r="R188" s="3">
        <v>0</v>
      </c>
      <c r="S188" s="3">
        <f t="shared" si="86"/>
        <v>450</v>
      </c>
      <c r="T188" s="3">
        <f t="shared" si="87"/>
        <v>45</v>
      </c>
      <c r="U188" s="3">
        <f t="shared" si="88"/>
        <v>22.5</v>
      </c>
      <c r="V188" s="3">
        <f t="shared" si="89"/>
        <v>180</v>
      </c>
      <c r="W188" s="3">
        <f t="shared" si="91"/>
        <v>247.5</v>
      </c>
      <c r="X188" s="3">
        <f t="shared" si="92"/>
        <v>517.5</v>
      </c>
      <c r="Y188" s="3">
        <f t="shared" si="90"/>
        <v>697.5</v>
      </c>
      <c r="Z188" s="2">
        <v>2.5</v>
      </c>
    </row>
    <row r="189" spans="1:26" hidden="1" x14ac:dyDescent="0.25">
      <c r="A189" s="2">
        <v>291</v>
      </c>
      <c r="B189" s="2" t="s">
        <v>640</v>
      </c>
      <c r="C189" s="2" t="s">
        <v>27</v>
      </c>
      <c r="D189" s="2" t="s">
        <v>14</v>
      </c>
      <c r="E189" s="2" t="s">
        <v>55</v>
      </c>
      <c r="F189" s="2" t="s">
        <v>56</v>
      </c>
      <c r="G189" s="2" t="s">
        <v>50</v>
      </c>
      <c r="H189" s="4"/>
      <c r="I189" s="51">
        <v>0</v>
      </c>
      <c r="J189" s="262">
        <v>0</v>
      </c>
      <c r="K189" s="264">
        <v>0</v>
      </c>
      <c r="L189" s="3">
        <v>400</v>
      </c>
      <c r="M189" s="3">
        <f t="shared" si="83"/>
        <v>0</v>
      </c>
      <c r="N189" s="3">
        <f t="shared" si="84"/>
        <v>0</v>
      </c>
      <c r="O189" s="265">
        <f t="shared" si="93"/>
        <v>400</v>
      </c>
      <c r="P189" s="3">
        <v>0</v>
      </c>
      <c r="Q189" s="3">
        <v>0</v>
      </c>
      <c r="R189" s="3">
        <v>0</v>
      </c>
      <c r="S189" s="3">
        <f t="shared" si="86"/>
        <v>400</v>
      </c>
      <c r="T189" s="3">
        <f t="shared" si="87"/>
        <v>40</v>
      </c>
      <c r="U189" s="3">
        <f t="shared" si="88"/>
        <v>20</v>
      </c>
      <c r="V189" s="3">
        <f t="shared" si="89"/>
        <v>160</v>
      </c>
      <c r="W189" s="3">
        <f t="shared" si="91"/>
        <v>220</v>
      </c>
      <c r="X189" s="3">
        <f t="shared" si="92"/>
        <v>460</v>
      </c>
      <c r="Y189" s="3">
        <f t="shared" si="90"/>
        <v>620</v>
      </c>
      <c r="Z189" s="2">
        <v>2.5</v>
      </c>
    </row>
    <row r="190" spans="1:26" hidden="1" x14ac:dyDescent="0.25">
      <c r="A190" s="2">
        <v>292</v>
      </c>
      <c r="B190" s="2" t="s">
        <v>641</v>
      </c>
      <c r="C190" s="2" t="s">
        <v>28</v>
      </c>
      <c r="D190" s="2" t="s">
        <v>14</v>
      </c>
      <c r="E190" s="2" t="s">
        <v>55</v>
      </c>
      <c r="F190" s="2" t="s">
        <v>56</v>
      </c>
      <c r="G190" s="2" t="s">
        <v>50</v>
      </c>
      <c r="H190" s="4"/>
      <c r="I190" s="51">
        <v>0</v>
      </c>
      <c r="J190" s="262">
        <v>0</v>
      </c>
      <c r="K190" s="264">
        <v>0</v>
      </c>
      <c r="L190" s="3">
        <v>0</v>
      </c>
      <c r="M190" s="3">
        <f t="shared" si="83"/>
        <v>0</v>
      </c>
      <c r="N190" s="3">
        <f t="shared" si="84"/>
        <v>0</v>
      </c>
      <c r="O190" s="265">
        <f t="shared" si="93"/>
        <v>0</v>
      </c>
      <c r="P190" s="3">
        <v>0</v>
      </c>
      <c r="Q190" s="196"/>
      <c r="R190" s="3">
        <v>0</v>
      </c>
      <c r="S190" s="3">
        <f t="shared" si="86"/>
        <v>0</v>
      </c>
      <c r="T190" s="3">
        <f t="shared" si="87"/>
        <v>0</v>
      </c>
      <c r="U190" s="3">
        <f t="shared" si="88"/>
        <v>0</v>
      </c>
      <c r="V190" s="3">
        <f t="shared" si="89"/>
        <v>0</v>
      </c>
      <c r="W190" s="3">
        <f t="shared" si="91"/>
        <v>0</v>
      </c>
      <c r="X190" s="3">
        <f t="shared" si="92"/>
        <v>0</v>
      </c>
      <c r="Y190" s="3">
        <f t="shared" si="90"/>
        <v>0</v>
      </c>
      <c r="Z190" s="2">
        <v>5</v>
      </c>
    </row>
    <row r="191" spans="1:26" hidden="1" x14ac:dyDescent="0.25">
      <c r="A191" s="2">
        <v>293</v>
      </c>
      <c r="B191" s="2" t="s">
        <v>642</v>
      </c>
      <c r="C191" s="2" t="s">
        <v>29</v>
      </c>
      <c r="D191" s="2" t="s">
        <v>14</v>
      </c>
      <c r="E191" s="2" t="s">
        <v>55</v>
      </c>
      <c r="F191" s="2" t="s">
        <v>56</v>
      </c>
      <c r="G191" s="2" t="s">
        <v>50</v>
      </c>
      <c r="H191" s="4"/>
      <c r="I191" s="51">
        <v>0</v>
      </c>
      <c r="J191" s="262">
        <v>0</v>
      </c>
      <c r="K191" s="264">
        <v>0</v>
      </c>
      <c r="L191" s="3">
        <v>0</v>
      </c>
      <c r="M191" s="3">
        <f t="shared" si="83"/>
        <v>0</v>
      </c>
      <c r="N191" s="3">
        <f t="shared" si="84"/>
        <v>0</v>
      </c>
      <c r="O191" s="265">
        <f t="shared" si="93"/>
        <v>0</v>
      </c>
      <c r="P191" s="3">
        <v>0</v>
      </c>
      <c r="Q191" s="196"/>
      <c r="R191" s="3">
        <v>0</v>
      </c>
      <c r="S191" s="3">
        <f t="shared" si="86"/>
        <v>0</v>
      </c>
      <c r="T191" s="3">
        <f t="shared" si="87"/>
        <v>0</v>
      </c>
      <c r="U191" s="3">
        <f t="shared" si="88"/>
        <v>0</v>
      </c>
      <c r="V191" s="3">
        <f t="shared" si="89"/>
        <v>0</v>
      </c>
      <c r="W191" s="3">
        <f t="shared" si="91"/>
        <v>0</v>
      </c>
      <c r="X191" s="3">
        <f t="shared" si="92"/>
        <v>0</v>
      </c>
      <c r="Y191" s="3">
        <f t="shared" si="90"/>
        <v>0</v>
      </c>
      <c r="Z191" s="2">
        <v>5</v>
      </c>
    </row>
    <row r="192" spans="1:26" hidden="1" x14ac:dyDescent="0.25">
      <c r="A192" s="2">
        <v>294</v>
      </c>
      <c r="B192" s="2" t="s">
        <v>610</v>
      </c>
      <c r="C192" s="2" t="s">
        <v>24</v>
      </c>
      <c r="D192" s="2" t="s">
        <v>14</v>
      </c>
      <c r="E192" s="2" t="s">
        <v>58</v>
      </c>
      <c r="F192" s="2" t="s">
        <v>59</v>
      </c>
      <c r="G192" s="2" t="s">
        <v>50</v>
      </c>
      <c r="H192" s="4">
        <v>45064</v>
      </c>
      <c r="I192" s="51">
        <v>0</v>
      </c>
      <c r="J192" s="262">
        <v>0</v>
      </c>
      <c r="K192" s="264">
        <v>0</v>
      </c>
      <c r="L192" s="5">
        <v>135</v>
      </c>
      <c r="M192" s="3">
        <f t="shared" si="83"/>
        <v>0</v>
      </c>
      <c r="N192" s="3">
        <f t="shared" si="84"/>
        <v>0</v>
      </c>
      <c r="O192" s="265">
        <f t="shared" si="93"/>
        <v>135</v>
      </c>
      <c r="P192" s="3">
        <v>0</v>
      </c>
      <c r="Q192" s="3">
        <v>30</v>
      </c>
      <c r="R192" s="3">
        <v>0</v>
      </c>
      <c r="S192" s="3">
        <f t="shared" si="86"/>
        <v>165</v>
      </c>
      <c r="T192" s="3">
        <f t="shared" si="87"/>
        <v>16.5</v>
      </c>
      <c r="U192" s="3">
        <f t="shared" si="88"/>
        <v>8.25</v>
      </c>
      <c r="V192" s="3">
        <f t="shared" si="89"/>
        <v>66</v>
      </c>
      <c r="W192" s="3">
        <f t="shared" si="91"/>
        <v>90.75</v>
      </c>
      <c r="X192" s="3">
        <f t="shared" si="92"/>
        <v>189.75</v>
      </c>
      <c r="Y192" s="3">
        <f t="shared" si="90"/>
        <v>255.75</v>
      </c>
      <c r="Z192" s="2">
        <v>2</v>
      </c>
    </row>
    <row r="193" spans="1:26" hidden="1" x14ac:dyDescent="0.25">
      <c r="A193" s="2">
        <v>295</v>
      </c>
      <c r="B193" s="2" t="s">
        <v>611</v>
      </c>
      <c r="C193" s="2" t="s">
        <v>25</v>
      </c>
      <c r="D193" s="2" t="s">
        <v>14</v>
      </c>
      <c r="E193" s="2" t="s">
        <v>58</v>
      </c>
      <c r="F193" s="2" t="s">
        <v>59</v>
      </c>
      <c r="G193" s="2" t="s">
        <v>50</v>
      </c>
      <c r="H193" s="4">
        <v>45064</v>
      </c>
      <c r="I193" s="51">
        <v>0</v>
      </c>
      <c r="J193" s="262">
        <v>0</v>
      </c>
      <c r="K193" s="264">
        <v>0</v>
      </c>
      <c r="L193" s="5">
        <v>175</v>
      </c>
      <c r="M193" s="3">
        <f t="shared" si="83"/>
        <v>0</v>
      </c>
      <c r="N193" s="3">
        <f t="shared" si="84"/>
        <v>0</v>
      </c>
      <c r="O193" s="265">
        <f t="shared" si="93"/>
        <v>175</v>
      </c>
      <c r="P193" s="3">
        <v>0</v>
      </c>
      <c r="Q193" s="3">
        <v>30</v>
      </c>
      <c r="R193" s="3">
        <v>0</v>
      </c>
      <c r="S193" s="3">
        <f t="shared" si="86"/>
        <v>205</v>
      </c>
      <c r="T193" s="3">
        <f t="shared" si="87"/>
        <v>20.5</v>
      </c>
      <c r="U193" s="3">
        <f t="shared" si="88"/>
        <v>10.25</v>
      </c>
      <c r="V193" s="3">
        <f t="shared" si="89"/>
        <v>82</v>
      </c>
      <c r="W193" s="3">
        <f t="shared" si="91"/>
        <v>112.75</v>
      </c>
      <c r="X193" s="3">
        <f t="shared" si="92"/>
        <v>235.75</v>
      </c>
      <c r="Y193" s="3">
        <f t="shared" si="90"/>
        <v>317.75</v>
      </c>
      <c r="Z193" s="2">
        <v>2</v>
      </c>
    </row>
    <row r="194" spans="1:26" hidden="1" x14ac:dyDescent="0.25">
      <c r="A194" s="2">
        <v>296</v>
      </c>
      <c r="B194" s="2" t="s">
        <v>612</v>
      </c>
      <c r="C194" s="2" t="s">
        <v>26</v>
      </c>
      <c r="D194" s="2" t="s">
        <v>14</v>
      </c>
      <c r="E194" s="2" t="s">
        <v>58</v>
      </c>
      <c r="F194" s="2" t="s">
        <v>59</v>
      </c>
      <c r="G194" s="2" t="s">
        <v>50</v>
      </c>
      <c r="H194" s="4">
        <v>45148</v>
      </c>
      <c r="I194" s="51">
        <v>0</v>
      </c>
      <c r="J194" s="262">
        <v>0</v>
      </c>
      <c r="K194" s="264">
        <v>0</v>
      </c>
      <c r="L194" s="5">
        <v>250</v>
      </c>
      <c r="M194" s="3">
        <f t="shared" si="83"/>
        <v>0</v>
      </c>
      <c r="N194" s="3">
        <f t="shared" si="84"/>
        <v>0</v>
      </c>
      <c r="O194" s="265">
        <f t="shared" si="93"/>
        <v>250</v>
      </c>
      <c r="P194" s="3">
        <v>0</v>
      </c>
      <c r="Q194" s="3">
        <v>30</v>
      </c>
      <c r="R194" s="3">
        <v>0</v>
      </c>
      <c r="S194" s="3">
        <f t="shared" si="86"/>
        <v>280</v>
      </c>
      <c r="T194" s="3">
        <f t="shared" si="87"/>
        <v>28</v>
      </c>
      <c r="U194" s="3">
        <f t="shared" si="88"/>
        <v>14</v>
      </c>
      <c r="V194" s="3">
        <f t="shared" si="89"/>
        <v>112</v>
      </c>
      <c r="W194" s="3">
        <f t="shared" si="91"/>
        <v>154</v>
      </c>
      <c r="X194" s="3">
        <f t="shared" si="92"/>
        <v>322</v>
      </c>
      <c r="Y194" s="3">
        <f t="shared" si="90"/>
        <v>434</v>
      </c>
      <c r="Z194" s="2">
        <v>2.5</v>
      </c>
    </row>
    <row r="195" spans="1:26" hidden="1" x14ac:dyDescent="0.25">
      <c r="A195" s="2">
        <v>297</v>
      </c>
      <c r="B195" s="2" t="s">
        <v>613</v>
      </c>
      <c r="C195" s="2" t="s">
        <v>27</v>
      </c>
      <c r="D195" s="2" t="s">
        <v>14</v>
      </c>
      <c r="E195" s="2" t="s">
        <v>58</v>
      </c>
      <c r="F195" s="2" t="s">
        <v>59</v>
      </c>
      <c r="G195" s="2" t="s">
        <v>50</v>
      </c>
      <c r="H195" s="4"/>
      <c r="I195" s="51">
        <v>0</v>
      </c>
      <c r="J195" s="262">
        <v>0</v>
      </c>
      <c r="K195" s="264">
        <v>0</v>
      </c>
      <c r="L195" s="3">
        <v>330</v>
      </c>
      <c r="M195" s="3">
        <f t="shared" si="83"/>
        <v>0</v>
      </c>
      <c r="N195" s="3">
        <f t="shared" si="84"/>
        <v>0</v>
      </c>
      <c r="O195" s="265">
        <f t="shared" si="93"/>
        <v>330</v>
      </c>
      <c r="P195" s="3">
        <v>0</v>
      </c>
      <c r="Q195" s="3">
        <f>0.5*O195</f>
        <v>165</v>
      </c>
      <c r="R195" s="3">
        <v>0</v>
      </c>
      <c r="S195" s="3">
        <f t="shared" si="86"/>
        <v>495</v>
      </c>
      <c r="T195" s="3">
        <f t="shared" si="87"/>
        <v>49.5</v>
      </c>
      <c r="U195" s="3">
        <f t="shared" si="88"/>
        <v>24.75</v>
      </c>
      <c r="V195" s="3">
        <f t="shared" si="89"/>
        <v>198</v>
      </c>
      <c r="W195" s="3">
        <f t="shared" si="91"/>
        <v>272.25</v>
      </c>
      <c r="X195" s="3">
        <f t="shared" si="92"/>
        <v>569.25</v>
      </c>
      <c r="Y195" s="3">
        <f t="shared" si="90"/>
        <v>767.25</v>
      </c>
      <c r="Z195" s="2">
        <v>2.5</v>
      </c>
    </row>
    <row r="196" spans="1:26" hidden="1" x14ac:dyDescent="0.25">
      <c r="A196" s="2">
        <v>298</v>
      </c>
      <c r="B196" s="2" t="s">
        <v>614</v>
      </c>
      <c r="C196" s="2" t="s">
        <v>28</v>
      </c>
      <c r="D196" s="2" t="s">
        <v>14</v>
      </c>
      <c r="E196" s="2" t="s">
        <v>58</v>
      </c>
      <c r="F196" s="2" t="s">
        <v>59</v>
      </c>
      <c r="G196" s="2" t="s">
        <v>50</v>
      </c>
      <c r="H196" s="4"/>
      <c r="I196" s="51">
        <v>0</v>
      </c>
      <c r="J196" s="262">
        <v>0</v>
      </c>
      <c r="K196" s="264">
        <v>0</v>
      </c>
      <c r="L196" s="3">
        <v>0</v>
      </c>
      <c r="M196" s="3">
        <f t="shared" si="83"/>
        <v>0</v>
      </c>
      <c r="N196" s="3">
        <f t="shared" si="84"/>
        <v>0</v>
      </c>
      <c r="O196" s="265">
        <f t="shared" si="93"/>
        <v>0</v>
      </c>
      <c r="P196" s="3">
        <v>0</v>
      </c>
      <c r="Q196" s="196"/>
      <c r="R196" s="3">
        <v>0</v>
      </c>
      <c r="S196" s="3">
        <f t="shared" si="86"/>
        <v>0</v>
      </c>
      <c r="T196" s="3">
        <f t="shared" si="87"/>
        <v>0</v>
      </c>
      <c r="U196" s="3">
        <f t="shared" si="88"/>
        <v>0</v>
      </c>
      <c r="V196" s="3">
        <f t="shared" si="89"/>
        <v>0</v>
      </c>
      <c r="W196" s="3">
        <f t="shared" si="91"/>
        <v>0</v>
      </c>
      <c r="X196" s="3">
        <f t="shared" si="92"/>
        <v>0</v>
      </c>
      <c r="Y196" s="3">
        <f t="shared" si="90"/>
        <v>0</v>
      </c>
      <c r="Z196" s="2">
        <v>5</v>
      </c>
    </row>
    <row r="197" spans="1:26" hidden="1" x14ac:dyDescent="0.25">
      <c r="A197" s="2">
        <v>299</v>
      </c>
      <c r="B197" s="2" t="s">
        <v>615</v>
      </c>
      <c r="C197" s="2" t="s">
        <v>29</v>
      </c>
      <c r="D197" s="2" t="s">
        <v>14</v>
      </c>
      <c r="E197" s="2" t="s">
        <v>58</v>
      </c>
      <c r="F197" s="2" t="s">
        <v>59</v>
      </c>
      <c r="G197" s="2" t="s">
        <v>50</v>
      </c>
      <c r="H197" s="4"/>
      <c r="I197" s="51">
        <v>0</v>
      </c>
      <c r="J197" s="262">
        <v>0</v>
      </c>
      <c r="K197" s="264">
        <v>0</v>
      </c>
      <c r="L197" s="3">
        <v>0</v>
      </c>
      <c r="M197" s="3">
        <f t="shared" si="83"/>
        <v>0</v>
      </c>
      <c r="N197" s="3">
        <f t="shared" si="84"/>
        <v>0</v>
      </c>
      <c r="O197" s="265">
        <f t="shared" si="93"/>
        <v>0</v>
      </c>
      <c r="P197" s="3">
        <v>0</v>
      </c>
      <c r="Q197" s="196"/>
      <c r="R197" s="3">
        <v>0</v>
      </c>
      <c r="S197" s="3">
        <f t="shared" si="86"/>
        <v>0</v>
      </c>
      <c r="T197" s="3">
        <f t="shared" si="87"/>
        <v>0</v>
      </c>
      <c r="U197" s="3">
        <f t="shared" si="88"/>
        <v>0</v>
      </c>
      <c r="V197" s="3">
        <f t="shared" si="89"/>
        <v>0</v>
      </c>
      <c r="W197" s="3">
        <f t="shared" si="91"/>
        <v>0</v>
      </c>
      <c r="X197" s="3">
        <f t="shared" si="92"/>
        <v>0</v>
      </c>
      <c r="Y197" s="3">
        <f t="shared" si="90"/>
        <v>0</v>
      </c>
      <c r="Z197" s="2">
        <v>5</v>
      </c>
    </row>
    <row r="198" spans="1:26" hidden="1" x14ac:dyDescent="0.25">
      <c r="A198" s="2">
        <v>306</v>
      </c>
      <c r="B198" s="2" t="s">
        <v>616</v>
      </c>
      <c r="C198" s="2" t="s">
        <v>24</v>
      </c>
      <c r="D198" s="2" t="s">
        <v>14</v>
      </c>
      <c r="E198" s="8" t="s">
        <v>761</v>
      </c>
      <c r="F198" s="2" t="s">
        <v>62</v>
      </c>
      <c r="G198" s="2" t="s">
        <v>50</v>
      </c>
      <c r="H198" s="4">
        <v>45272</v>
      </c>
      <c r="I198" s="261">
        <v>100</v>
      </c>
      <c r="J198" s="262">
        <v>0</v>
      </c>
      <c r="K198" s="264">
        <v>0</v>
      </c>
      <c r="L198" s="3">
        <v>0</v>
      </c>
      <c r="M198" s="3">
        <f t="shared" si="83"/>
        <v>56.55</v>
      </c>
      <c r="N198" s="3">
        <f t="shared" si="84"/>
        <v>75.400000000000006</v>
      </c>
      <c r="O198" s="265">
        <f t="shared" si="93"/>
        <v>508.95</v>
      </c>
      <c r="P198" s="3">
        <v>0</v>
      </c>
      <c r="Q198" s="3">
        <v>30</v>
      </c>
      <c r="R198" s="3">
        <v>0</v>
      </c>
      <c r="S198" s="3">
        <f t="shared" si="86"/>
        <v>538.95000000000005</v>
      </c>
      <c r="T198" s="3">
        <f t="shared" si="87"/>
        <v>53.89500000000001</v>
      </c>
      <c r="U198" s="3">
        <f t="shared" si="88"/>
        <v>26.947500000000005</v>
      </c>
      <c r="V198" s="3">
        <f t="shared" si="89"/>
        <v>215.58000000000004</v>
      </c>
      <c r="W198" s="3">
        <f t="shared" si="91"/>
        <v>296.42250000000007</v>
      </c>
      <c r="X198" s="3">
        <f t="shared" si="92"/>
        <v>619.79250000000002</v>
      </c>
      <c r="Y198" s="3">
        <f t="shared" si="90"/>
        <v>835.37250000000017</v>
      </c>
      <c r="Z198" s="2">
        <v>2</v>
      </c>
    </row>
    <row r="199" spans="1:26" hidden="1" x14ac:dyDescent="0.25">
      <c r="A199" s="2">
        <v>307</v>
      </c>
      <c r="B199" s="2" t="s">
        <v>617</v>
      </c>
      <c r="C199" s="2" t="s">
        <v>25</v>
      </c>
      <c r="D199" s="2" t="s">
        <v>14</v>
      </c>
      <c r="E199" s="8" t="s">
        <v>761</v>
      </c>
      <c r="F199" s="2" t="s">
        <v>62</v>
      </c>
      <c r="G199" s="2" t="s">
        <v>50</v>
      </c>
      <c r="H199" s="4">
        <v>45272</v>
      </c>
      <c r="I199" s="261">
        <v>140</v>
      </c>
      <c r="J199" s="262">
        <v>0</v>
      </c>
      <c r="K199" s="264">
        <v>0</v>
      </c>
      <c r="L199" s="3">
        <v>0</v>
      </c>
      <c r="M199" s="3">
        <f t="shared" si="83"/>
        <v>79.169999999999987</v>
      </c>
      <c r="N199" s="3">
        <f t="shared" si="84"/>
        <v>105.56</v>
      </c>
      <c r="O199" s="265">
        <f t="shared" si="93"/>
        <v>712.53</v>
      </c>
      <c r="P199" s="3">
        <v>0</v>
      </c>
      <c r="Q199" s="3">
        <v>30</v>
      </c>
      <c r="R199" s="3">
        <v>0</v>
      </c>
      <c r="S199" s="3">
        <f t="shared" si="86"/>
        <v>742.53</v>
      </c>
      <c r="T199" s="3">
        <f t="shared" si="87"/>
        <v>74.253</v>
      </c>
      <c r="U199" s="3">
        <f t="shared" si="88"/>
        <v>37.1265</v>
      </c>
      <c r="V199" s="3">
        <f t="shared" si="89"/>
        <v>297.012</v>
      </c>
      <c r="W199" s="3">
        <f t="shared" si="91"/>
        <v>408.39150000000001</v>
      </c>
      <c r="X199" s="3">
        <f t="shared" si="92"/>
        <v>853.90949999999998</v>
      </c>
      <c r="Y199" s="3">
        <f t="shared" si="90"/>
        <v>1150.9214999999999</v>
      </c>
      <c r="Z199" s="2">
        <v>2</v>
      </c>
    </row>
    <row r="200" spans="1:26" hidden="1" x14ac:dyDescent="0.25">
      <c r="A200" s="2">
        <v>308</v>
      </c>
      <c r="B200" s="2" t="s">
        <v>618</v>
      </c>
      <c r="C200" s="2" t="s">
        <v>26</v>
      </c>
      <c r="D200" s="2" t="s">
        <v>14</v>
      </c>
      <c r="E200" s="8" t="s">
        <v>761</v>
      </c>
      <c r="F200" s="2" t="s">
        <v>62</v>
      </c>
      <c r="G200" s="2" t="s">
        <v>50</v>
      </c>
      <c r="H200" s="4">
        <v>45272</v>
      </c>
      <c r="I200" s="261">
        <v>200</v>
      </c>
      <c r="J200" s="262">
        <v>0</v>
      </c>
      <c r="K200" s="264">
        <v>0</v>
      </c>
      <c r="L200" s="3">
        <v>0</v>
      </c>
      <c r="M200" s="3">
        <f t="shared" si="83"/>
        <v>113.1</v>
      </c>
      <c r="N200" s="3">
        <f t="shared" si="84"/>
        <v>150.80000000000001</v>
      </c>
      <c r="O200" s="265">
        <f t="shared" si="93"/>
        <v>1017.9</v>
      </c>
      <c r="P200" s="3">
        <v>0</v>
      </c>
      <c r="Q200" s="3">
        <v>30</v>
      </c>
      <c r="R200" s="3">
        <v>0</v>
      </c>
      <c r="S200" s="3">
        <f t="shared" si="86"/>
        <v>1047.9000000000001</v>
      </c>
      <c r="T200" s="3">
        <f t="shared" si="87"/>
        <v>104.79000000000002</v>
      </c>
      <c r="U200" s="3">
        <f t="shared" si="88"/>
        <v>52.39500000000001</v>
      </c>
      <c r="V200" s="3">
        <f t="shared" si="89"/>
        <v>419.16000000000008</v>
      </c>
      <c r="W200" s="3">
        <f t="shared" si="91"/>
        <v>576.34500000000014</v>
      </c>
      <c r="X200" s="3">
        <f t="shared" si="92"/>
        <v>1205.085</v>
      </c>
      <c r="Y200" s="3">
        <f t="shared" si="90"/>
        <v>1624.2450000000003</v>
      </c>
      <c r="Z200" s="2">
        <v>2.5</v>
      </c>
    </row>
    <row r="201" spans="1:26" hidden="1" x14ac:dyDescent="0.25">
      <c r="A201" s="2">
        <v>309</v>
      </c>
      <c r="B201" s="2" t="s">
        <v>619</v>
      </c>
      <c r="C201" s="2" t="s">
        <v>27</v>
      </c>
      <c r="D201" s="2" t="s">
        <v>14</v>
      </c>
      <c r="E201" s="8" t="s">
        <v>761</v>
      </c>
      <c r="F201" s="2" t="s">
        <v>62</v>
      </c>
      <c r="G201" s="2" t="s">
        <v>50</v>
      </c>
      <c r="H201" s="4">
        <v>45272</v>
      </c>
      <c r="I201" s="261">
        <v>250</v>
      </c>
      <c r="J201" s="262">
        <v>0</v>
      </c>
      <c r="K201" s="264">
        <v>0</v>
      </c>
      <c r="L201" s="3">
        <v>0</v>
      </c>
      <c r="M201" s="3">
        <f t="shared" si="83"/>
        <v>141.375</v>
      </c>
      <c r="N201" s="3">
        <f t="shared" si="84"/>
        <v>188.5</v>
      </c>
      <c r="O201" s="265">
        <f t="shared" si="93"/>
        <v>1272.375</v>
      </c>
      <c r="P201" s="3">
        <v>0</v>
      </c>
      <c r="Q201" s="3">
        <v>30</v>
      </c>
      <c r="R201" s="3">
        <v>0</v>
      </c>
      <c r="S201" s="3">
        <f t="shared" si="86"/>
        <v>1302.375</v>
      </c>
      <c r="T201" s="3">
        <f t="shared" si="87"/>
        <v>130.23750000000001</v>
      </c>
      <c r="U201" s="3">
        <f t="shared" si="88"/>
        <v>65.118750000000006</v>
      </c>
      <c r="V201" s="3">
        <f t="shared" si="89"/>
        <v>520.95000000000005</v>
      </c>
      <c r="W201" s="3">
        <f t="shared" si="91"/>
        <v>716.30625000000009</v>
      </c>
      <c r="X201" s="3">
        <f t="shared" si="92"/>
        <v>1497.73125</v>
      </c>
      <c r="Y201" s="3">
        <f t="shared" si="90"/>
        <v>2018.6812500000001</v>
      </c>
      <c r="Z201" s="2">
        <v>2.5</v>
      </c>
    </row>
    <row r="202" spans="1:26" hidden="1" x14ac:dyDescent="0.25">
      <c r="A202" s="2">
        <v>310</v>
      </c>
      <c r="B202" s="2" t="s">
        <v>620</v>
      </c>
      <c r="C202" s="2" t="s">
        <v>28</v>
      </c>
      <c r="D202" s="2" t="s">
        <v>14</v>
      </c>
      <c r="E202" s="8" t="s">
        <v>761</v>
      </c>
      <c r="F202" s="2" t="s">
        <v>62</v>
      </c>
      <c r="G202" s="2" t="s">
        <v>50</v>
      </c>
      <c r="H202" s="4"/>
      <c r="I202" s="51">
        <v>0</v>
      </c>
      <c r="J202" s="262">
        <v>0</v>
      </c>
      <c r="K202" s="264">
        <v>0</v>
      </c>
      <c r="L202" s="3">
        <v>0</v>
      </c>
      <c r="M202" s="3">
        <f t="shared" si="83"/>
        <v>0</v>
      </c>
      <c r="N202" s="3">
        <f t="shared" si="84"/>
        <v>0</v>
      </c>
      <c r="O202" s="265">
        <f t="shared" si="93"/>
        <v>0</v>
      </c>
      <c r="P202" s="3">
        <v>0</v>
      </c>
      <c r="Q202" s="196"/>
      <c r="R202" s="3">
        <v>0</v>
      </c>
      <c r="S202" s="3">
        <f t="shared" si="86"/>
        <v>0</v>
      </c>
      <c r="T202" s="3">
        <f t="shared" si="87"/>
        <v>0</v>
      </c>
      <c r="U202" s="3">
        <f t="shared" si="88"/>
        <v>0</v>
      </c>
      <c r="V202" s="3">
        <f t="shared" si="89"/>
        <v>0</v>
      </c>
      <c r="W202" s="3">
        <f t="shared" si="91"/>
        <v>0</v>
      </c>
      <c r="X202" s="3">
        <f t="shared" si="92"/>
        <v>0</v>
      </c>
      <c r="Y202" s="3">
        <f t="shared" si="90"/>
        <v>0</v>
      </c>
      <c r="Z202" s="2">
        <v>5</v>
      </c>
    </row>
    <row r="203" spans="1:26" hidden="1" x14ac:dyDescent="0.25">
      <c r="A203" s="2">
        <v>311</v>
      </c>
      <c r="B203" s="2" t="s">
        <v>621</v>
      </c>
      <c r="C203" s="2" t="s">
        <v>29</v>
      </c>
      <c r="D203" s="2" t="s">
        <v>14</v>
      </c>
      <c r="E203" s="8" t="s">
        <v>761</v>
      </c>
      <c r="F203" s="2" t="s">
        <v>62</v>
      </c>
      <c r="G203" s="2" t="s">
        <v>50</v>
      </c>
      <c r="H203" s="4">
        <v>45272</v>
      </c>
      <c r="I203" s="51">
        <v>0</v>
      </c>
      <c r="J203" s="262">
        <v>0</v>
      </c>
      <c r="K203" s="264">
        <v>0</v>
      </c>
      <c r="L203" s="3">
        <f>(8300+180+24.5)*0.9</f>
        <v>7654.05</v>
      </c>
      <c r="M203" s="3">
        <f t="shared" si="83"/>
        <v>0</v>
      </c>
      <c r="N203" s="3">
        <f t="shared" si="84"/>
        <v>0</v>
      </c>
      <c r="O203" s="265">
        <f t="shared" si="93"/>
        <v>7654.05</v>
      </c>
      <c r="P203" s="3">
        <v>0</v>
      </c>
      <c r="Q203" s="3">
        <v>150</v>
      </c>
      <c r="R203" s="3">
        <v>0</v>
      </c>
      <c r="S203" s="3">
        <f t="shared" si="86"/>
        <v>7804.05</v>
      </c>
      <c r="T203" s="3">
        <f t="shared" si="87"/>
        <v>780.40500000000009</v>
      </c>
      <c r="U203" s="3">
        <f t="shared" si="88"/>
        <v>390.20250000000004</v>
      </c>
      <c r="V203" s="3">
        <f t="shared" si="89"/>
        <v>3121.6200000000003</v>
      </c>
      <c r="W203" s="3">
        <f t="shared" si="91"/>
        <v>4292.2275000000009</v>
      </c>
      <c r="X203" s="3">
        <f t="shared" si="92"/>
        <v>8974.6574999999993</v>
      </c>
      <c r="Y203" s="3">
        <f t="shared" si="90"/>
        <v>12096.2775</v>
      </c>
      <c r="Z203" s="2">
        <v>5</v>
      </c>
    </row>
    <row r="204" spans="1:26" hidden="1" x14ac:dyDescent="0.25">
      <c r="A204" s="2">
        <v>312</v>
      </c>
      <c r="B204" s="2" t="s">
        <v>643</v>
      </c>
      <c r="C204" s="2" t="s">
        <v>24</v>
      </c>
      <c r="D204" s="2" t="s">
        <v>14</v>
      </c>
      <c r="E204" s="2" t="s">
        <v>31</v>
      </c>
      <c r="F204" s="2" t="s">
        <v>32</v>
      </c>
      <c r="G204" s="2" t="s">
        <v>50</v>
      </c>
      <c r="H204" s="4">
        <v>45222</v>
      </c>
      <c r="I204" s="51">
        <v>0</v>
      </c>
      <c r="J204" s="262">
        <v>0</v>
      </c>
      <c r="K204" s="264">
        <v>0</v>
      </c>
      <c r="L204" s="5">
        <v>120</v>
      </c>
      <c r="M204" s="3">
        <f t="shared" si="83"/>
        <v>0</v>
      </c>
      <c r="N204" s="3">
        <f t="shared" si="84"/>
        <v>0</v>
      </c>
      <c r="O204" s="265">
        <f t="shared" si="93"/>
        <v>120</v>
      </c>
      <c r="P204" s="3">
        <v>0</v>
      </c>
      <c r="Q204" s="3">
        <f t="shared" ref="Q204:Q209" si="95">0.1*L204</f>
        <v>12</v>
      </c>
      <c r="R204" s="3">
        <v>0</v>
      </c>
      <c r="S204" s="3">
        <f t="shared" si="86"/>
        <v>132</v>
      </c>
      <c r="T204" s="3">
        <f t="shared" si="87"/>
        <v>13.200000000000001</v>
      </c>
      <c r="U204" s="3">
        <f t="shared" si="88"/>
        <v>6.6000000000000005</v>
      </c>
      <c r="V204" s="3">
        <f t="shared" si="89"/>
        <v>52.800000000000004</v>
      </c>
      <c r="W204" s="3">
        <f t="shared" si="91"/>
        <v>72.600000000000009</v>
      </c>
      <c r="X204" s="3">
        <f t="shared" si="92"/>
        <v>151.79999999999998</v>
      </c>
      <c r="Y204" s="3">
        <f t="shared" si="90"/>
        <v>204.60000000000002</v>
      </c>
      <c r="Z204" s="2">
        <v>2</v>
      </c>
    </row>
    <row r="205" spans="1:26" hidden="1" x14ac:dyDescent="0.25">
      <c r="A205" s="2">
        <v>313</v>
      </c>
      <c r="B205" s="2" t="s">
        <v>644</v>
      </c>
      <c r="C205" s="2" t="s">
        <v>25</v>
      </c>
      <c r="D205" s="2" t="s">
        <v>14</v>
      </c>
      <c r="E205" s="2" t="s">
        <v>31</v>
      </c>
      <c r="F205" s="2" t="s">
        <v>32</v>
      </c>
      <c r="G205" s="2" t="s">
        <v>50</v>
      </c>
      <c r="H205" s="4"/>
      <c r="I205" s="51">
        <v>0</v>
      </c>
      <c r="J205" s="262">
        <v>0</v>
      </c>
      <c r="K205" s="264">
        <v>0</v>
      </c>
      <c r="L205" s="3">
        <v>150</v>
      </c>
      <c r="M205" s="3">
        <f t="shared" si="83"/>
        <v>0</v>
      </c>
      <c r="N205" s="3">
        <f t="shared" si="84"/>
        <v>0</v>
      </c>
      <c r="O205" s="265">
        <f t="shared" si="93"/>
        <v>150</v>
      </c>
      <c r="P205" s="3">
        <v>0</v>
      </c>
      <c r="Q205" s="3">
        <f t="shared" si="95"/>
        <v>15</v>
      </c>
      <c r="R205" s="3">
        <v>0</v>
      </c>
      <c r="S205" s="3">
        <f t="shared" si="86"/>
        <v>165</v>
      </c>
      <c r="T205" s="3">
        <f t="shared" si="87"/>
        <v>16.5</v>
      </c>
      <c r="U205" s="3">
        <f t="shared" si="88"/>
        <v>8.25</v>
      </c>
      <c r="V205" s="3">
        <f t="shared" si="89"/>
        <v>66</v>
      </c>
      <c r="W205" s="3">
        <f t="shared" si="91"/>
        <v>90.75</v>
      </c>
      <c r="X205" s="3">
        <f t="shared" si="92"/>
        <v>189.75</v>
      </c>
      <c r="Y205" s="3">
        <f t="shared" si="90"/>
        <v>255.75</v>
      </c>
      <c r="Z205" s="2">
        <v>2</v>
      </c>
    </row>
    <row r="206" spans="1:26" hidden="1" x14ac:dyDescent="0.25">
      <c r="A206" s="2">
        <v>314</v>
      </c>
      <c r="B206" s="2" t="s">
        <v>645</v>
      </c>
      <c r="C206" s="2" t="s">
        <v>26</v>
      </c>
      <c r="D206" s="2" t="s">
        <v>14</v>
      </c>
      <c r="E206" s="2" t="s">
        <v>31</v>
      </c>
      <c r="F206" s="2" t="s">
        <v>32</v>
      </c>
      <c r="G206" s="2" t="s">
        <v>50</v>
      </c>
      <c r="H206" s="4"/>
      <c r="I206" s="51">
        <v>0</v>
      </c>
      <c r="J206" s="262">
        <v>0</v>
      </c>
      <c r="K206" s="264">
        <v>0</v>
      </c>
      <c r="L206" s="3">
        <v>210</v>
      </c>
      <c r="M206" s="3">
        <f t="shared" si="83"/>
        <v>0</v>
      </c>
      <c r="N206" s="3">
        <f t="shared" si="84"/>
        <v>0</v>
      </c>
      <c r="O206" s="265">
        <f t="shared" si="93"/>
        <v>210</v>
      </c>
      <c r="P206" s="3">
        <v>0</v>
      </c>
      <c r="Q206" s="3">
        <f t="shared" si="95"/>
        <v>21</v>
      </c>
      <c r="R206" s="3">
        <v>0</v>
      </c>
      <c r="S206" s="3">
        <f t="shared" si="86"/>
        <v>231</v>
      </c>
      <c r="T206" s="3">
        <f t="shared" si="87"/>
        <v>23.1</v>
      </c>
      <c r="U206" s="3">
        <f t="shared" si="88"/>
        <v>11.55</v>
      </c>
      <c r="V206" s="3">
        <f t="shared" si="89"/>
        <v>92.4</v>
      </c>
      <c r="W206" s="3">
        <f t="shared" si="91"/>
        <v>127.05000000000001</v>
      </c>
      <c r="X206" s="3">
        <f t="shared" si="92"/>
        <v>265.64999999999998</v>
      </c>
      <c r="Y206" s="3">
        <f t="shared" si="90"/>
        <v>358.05</v>
      </c>
      <c r="Z206" s="2">
        <v>2.5</v>
      </c>
    </row>
    <row r="207" spans="1:26" hidden="1" x14ac:dyDescent="0.25">
      <c r="A207" s="2">
        <v>315</v>
      </c>
      <c r="B207" s="2" t="s">
        <v>646</v>
      </c>
      <c r="C207" s="2" t="s">
        <v>27</v>
      </c>
      <c r="D207" s="2" t="s">
        <v>14</v>
      </c>
      <c r="E207" s="2" t="s">
        <v>31</v>
      </c>
      <c r="F207" s="2" t="s">
        <v>32</v>
      </c>
      <c r="G207" s="2" t="s">
        <v>50</v>
      </c>
      <c r="H207" s="4">
        <v>45148</v>
      </c>
      <c r="I207" s="51">
        <v>0</v>
      </c>
      <c r="J207" s="262">
        <v>0</v>
      </c>
      <c r="K207" s="264">
        <v>0</v>
      </c>
      <c r="L207" s="5">
        <v>300</v>
      </c>
      <c r="M207" s="3">
        <f t="shared" si="83"/>
        <v>0</v>
      </c>
      <c r="N207" s="3">
        <f t="shared" si="84"/>
        <v>0</v>
      </c>
      <c r="O207" s="265">
        <f t="shared" si="93"/>
        <v>300</v>
      </c>
      <c r="P207" s="3">
        <v>0</v>
      </c>
      <c r="Q207" s="3">
        <f t="shared" si="95"/>
        <v>30</v>
      </c>
      <c r="R207" s="3">
        <v>0</v>
      </c>
      <c r="S207" s="3">
        <f t="shared" si="86"/>
        <v>330</v>
      </c>
      <c r="T207" s="3">
        <f t="shared" si="87"/>
        <v>33</v>
      </c>
      <c r="U207" s="3">
        <f t="shared" si="88"/>
        <v>16.5</v>
      </c>
      <c r="V207" s="3">
        <f t="shared" si="89"/>
        <v>132</v>
      </c>
      <c r="W207" s="3">
        <f t="shared" si="91"/>
        <v>181.5</v>
      </c>
      <c r="X207" s="3">
        <f t="shared" si="92"/>
        <v>379.5</v>
      </c>
      <c r="Y207" s="3">
        <f t="shared" si="90"/>
        <v>511.5</v>
      </c>
      <c r="Z207" s="2">
        <v>2.5</v>
      </c>
    </row>
    <row r="208" spans="1:26" hidden="1" x14ac:dyDescent="0.25">
      <c r="A208" s="2">
        <v>316</v>
      </c>
      <c r="B208" s="2" t="s">
        <v>647</v>
      </c>
      <c r="C208" s="2" t="s">
        <v>28</v>
      </c>
      <c r="D208" s="2" t="s">
        <v>14</v>
      </c>
      <c r="E208" s="2" t="s">
        <v>31</v>
      </c>
      <c r="F208" s="2" t="s">
        <v>32</v>
      </c>
      <c r="G208" s="2" t="s">
        <v>50</v>
      </c>
      <c r="H208" s="4"/>
      <c r="I208" s="51">
        <v>0</v>
      </c>
      <c r="J208" s="262">
        <v>0</v>
      </c>
      <c r="K208" s="264">
        <v>0</v>
      </c>
      <c r="L208" s="3">
        <v>450</v>
      </c>
      <c r="M208" s="3">
        <f t="shared" ref="M208:M210" si="96">0.15*(I208*3.77+J208*4.3+K208*1.1)</f>
        <v>0</v>
      </c>
      <c r="N208" s="3">
        <f t="shared" ref="N208:N210" si="97">0.2*(I208*3.77+J208*4.3+K208*1.1)</f>
        <v>0</v>
      </c>
      <c r="O208" s="265">
        <f t="shared" si="93"/>
        <v>450</v>
      </c>
      <c r="P208" s="3">
        <v>0</v>
      </c>
      <c r="Q208" s="3">
        <f t="shared" si="95"/>
        <v>45</v>
      </c>
      <c r="R208" s="3">
        <v>0</v>
      </c>
      <c r="S208" s="3">
        <f t="shared" ref="S208:S245" si="98">SUM(O208:R208)</f>
        <v>495</v>
      </c>
      <c r="T208" s="3">
        <f t="shared" ref="T208:T245" si="99">0.1*S208</f>
        <v>49.5</v>
      </c>
      <c r="U208" s="3">
        <f t="shared" ref="U208:U245" si="100">0.05*S208</f>
        <v>24.75</v>
      </c>
      <c r="V208" s="3">
        <f t="shared" ref="V208:V245" si="101">0.4*S208</f>
        <v>198</v>
      </c>
      <c r="W208" s="3">
        <f t="shared" si="91"/>
        <v>272.25</v>
      </c>
      <c r="X208" s="3">
        <f t="shared" si="92"/>
        <v>569.25</v>
      </c>
      <c r="Y208" s="3">
        <f t="shared" si="90"/>
        <v>767.25</v>
      </c>
      <c r="Z208" s="2">
        <v>5</v>
      </c>
    </row>
    <row r="209" spans="1:27" hidden="1" x14ac:dyDescent="0.25">
      <c r="A209" s="2">
        <v>317</v>
      </c>
      <c r="B209" s="2" t="s">
        <v>648</v>
      </c>
      <c r="C209" s="2" t="s">
        <v>29</v>
      </c>
      <c r="D209" s="2" t="s">
        <v>14</v>
      </c>
      <c r="E209" s="2" t="s">
        <v>31</v>
      </c>
      <c r="F209" s="2" t="s">
        <v>32</v>
      </c>
      <c r="G209" s="2" t="s">
        <v>50</v>
      </c>
      <c r="H209" s="4"/>
      <c r="I209" s="51">
        <v>0</v>
      </c>
      <c r="J209" s="262">
        <v>0</v>
      </c>
      <c r="K209" s="264">
        <v>0</v>
      </c>
      <c r="L209" s="3">
        <v>600</v>
      </c>
      <c r="M209" s="3">
        <f t="shared" si="96"/>
        <v>0</v>
      </c>
      <c r="N209" s="3">
        <f t="shared" si="97"/>
        <v>0</v>
      </c>
      <c r="O209" s="265">
        <f t="shared" si="93"/>
        <v>600</v>
      </c>
      <c r="P209" s="3">
        <v>0</v>
      </c>
      <c r="Q209" s="3">
        <f t="shared" si="95"/>
        <v>60</v>
      </c>
      <c r="R209" s="3">
        <v>0</v>
      </c>
      <c r="S209" s="3">
        <f t="shared" si="98"/>
        <v>660</v>
      </c>
      <c r="T209" s="3">
        <f t="shared" si="99"/>
        <v>66</v>
      </c>
      <c r="U209" s="3">
        <f t="shared" si="100"/>
        <v>33</v>
      </c>
      <c r="V209" s="3">
        <f t="shared" si="101"/>
        <v>264</v>
      </c>
      <c r="W209" s="3">
        <f t="shared" si="91"/>
        <v>363</v>
      </c>
      <c r="X209" s="3">
        <f t="shared" si="92"/>
        <v>759</v>
      </c>
      <c r="Y209" s="3">
        <f t="shared" si="90"/>
        <v>1023</v>
      </c>
      <c r="Z209" s="2">
        <v>5</v>
      </c>
    </row>
    <row r="210" spans="1:27" hidden="1" x14ac:dyDescent="0.25">
      <c r="A210" s="2">
        <v>318</v>
      </c>
      <c r="B210" s="2" t="s">
        <v>655</v>
      </c>
      <c r="C210" s="2" t="s">
        <v>14</v>
      </c>
      <c r="D210" s="2" t="s">
        <v>14</v>
      </c>
      <c r="E210" s="8" t="s">
        <v>761</v>
      </c>
      <c r="F210" s="2" t="s">
        <v>35</v>
      </c>
      <c r="G210" s="2" t="s">
        <v>823</v>
      </c>
      <c r="H210" s="4">
        <v>45910</v>
      </c>
      <c r="I210" s="51">
        <v>700</v>
      </c>
      <c r="J210" s="262">
        <v>0</v>
      </c>
      <c r="K210" s="264">
        <v>0</v>
      </c>
      <c r="L210" s="2">
        <v>300</v>
      </c>
      <c r="M210" s="3">
        <f t="shared" si="96"/>
        <v>395.84999999999997</v>
      </c>
      <c r="N210" s="3">
        <f t="shared" si="97"/>
        <v>527.80000000000007</v>
      </c>
      <c r="O210" s="265">
        <f t="shared" si="93"/>
        <v>3862.65</v>
      </c>
      <c r="P210" s="3">
        <v>0</v>
      </c>
      <c r="Q210" s="3">
        <v>0</v>
      </c>
      <c r="R210" s="3">
        <v>0</v>
      </c>
      <c r="S210" s="3">
        <f t="shared" si="98"/>
        <v>3862.65</v>
      </c>
      <c r="T210" s="3">
        <f t="shared" si="99"/>
        <v>386.26500000000004</v>
      </c>
      <c r="U210" s="3">
        <f t="shared" si="100"/>
        <v>193.13250000000002</v>
      </c>
      <c r="V210" s="3">
        <f t="shared" si="101"/>
        <v>1545.0600000000002</v>
      </c>
      <c r="W210" s="3">
        <f t="shared" si="91"/>
        <v>2124.4575000000004</v>
      </c>
      <c r="X210" s="3">
        <f t="shared" si="92"/>
        <v>4442.0474999999997</v>
      </c>
      <c r="Y210" s="3">
        <f t="shared" ref="Y210:Y245" si="102">(W210+S210)*(1-$AB$1)</f>
        <v>5987.1075000000001</v>
      </c>
      <c r="Z210" s="2">
        <v>5</v>
      </c>
      <c r="AA210" s="3"/>
    </row>
    <row r="211" spans="1:27" hidden="1" x14ac:dyDescent="0.25">
      <c r="A211" s="2">
        <v>319</v>
      </c>
      <c r="B211" s="2" t="s">
        <v>656</v>
      </c>
      <c r="C211" s="2" t="s">
        <v>44</v>
      </c>
      <c r="D211" s="2" t="s">
        <v>14</v>
      </c>
      <c r="E211" s="2" t="s">
        <v>37</v>
      </c>
      <c r="F211" s="2" t="s">
        <v>37</v>
      </c>
      <c r="G211" s="2" t="s">
        <v>50</v>
      </c>
      <c r="H211" s="4">
        <v>45256</v>
      </c>
      <c r="I211" s="51">
        <v>0</v>
      </c>
      <c r="J211" s="262">
        <v>0</v>
      </c>
      <c r="K211" s="264">
        <v>0</v>
      </c>
      <c r="L211" s="5">
        <f>3000+300+580</f>
        <v>3880</v>
      </c>
      <c r="M211" s="3">
        <f t="shared" ref="M211:M245" si="103">0.15*(I211*3.77+J211*4.3+K211*1.1)</f>
        <v>0</v>
      </c>
      <c r="N211" s="3">
        <f t="shared" ref="N211:N245" si="104">0.2*(I211*3.77+J211*4.3+K211*1.1)</f>
        <v>0</v>
      </c>
      <c r="O211" s="265">
        <f t="shared" si="93"/>
        <v>3880</v>
      </c>
      <c r="P211" s="3">
        <v>0</v>
      </c>
      <c r="Q211" s="3">
        <v>30</v>
      </c>
      <c r="R211" s="3">
        <v>0</v>
      </c>
      <c r="S211" s="3">
        <f t="shared" si="98"/>
        <v>3910</v>
      </c>
      <c r="T211" s="3">
        <f t="shared" si="99"/>
        <v>391</v>
      </c>
      <c r="U211" s="3">
        <f t="shared" si="100"/>
        <v>195.5</v>
      </c>
      <c r="V211" s="3">
        <f t="shared" si="101"/>
        <v>1564</v>
      </c>
      <c r="W211" s="3">
        <f t="shared" si="91"/>
        <v>2150.5</v>
      </c>
      <c r="X211" s="3">
        <f t="shared" si="92"/>
        <v>4496.5</v>
      </c>
      <c r="Y211" s="3">
        <f t="shared" si="102"/>
        <v>6060.5</v>
      </c>
      <c r="Z211" s="2">
        <v>3</v>
      </c>
    </row>
    <row r="212" spans="1:27" hidden="1" x14ac:dyDescent="0.25">
      <c r="A212" s="2">
        <v>320</v>
      </c>
      <c r="B212" s="2" t="s">
        <v>636</v>
      </c>
      <c r="C212" s="2" t="s">
        <v>47</v>
      </c>
      <c r="D212" s="2" t="s">
        <v>14</v>
      </c>
      <c r="E212" s="8" t="s">
        <v>761</v>
      </c>
      <c r="F212" s="2" t="s">
        <v>20</v>
      </c>
      <c r="G212" s="2" t="s">
        <v>50</v>
      </c>
      <c r="H212" s="4">
        <v>45257</v>
      </c>
      <c r="I212" s="51">
        <v>0</v>
      </c>
      <c r="J212" s="262">
        <v>0</v>
      </c>
      <c r="K212" s="264">
        <v>0</v>
      </c>
      <c r="L212" s="5">
        <v>3900</v>
      </c>
      <c r="M212" s="3">
        <f t="shared" si="103"/>
        <v>0</v>
      </c>
      <c r="N212" s="3">
        <f t="shared" si="104"/>
        <v>0</v>
      </c>
      <c r="O212" s="265">
        <f t="shared" si="93"/>
        <v>3900</v>
      </c>
      <c r="P212" s="3">
        <v>0</v>
      </c>
      <c r="Q212" s="3">
        <v>0</v>
      </c>
      <c r="R212" s="3">
        <v>0</v>
      </c>
      <c r="S212" s="3">
        <f t="shared" si="98"/>
        <v>3900</v>
      </c>
      <c r="T212" s="3">
        <f t="shared" si="99"/>
        <v>390</v>
      </c>
      <c r="U212" s="3">
        <f t="shared" si="100"/>
        <v>195</v>
      </c>
      <c r="V212" s="3">
        <f t="shared" si="101"/>
        <v>1560</v>
      </c>
      <c r="W212" s="3">
        <f t="shared" si="91"/>
        <v>2145</v>
      </c>
      <c r="X212" s="3">
        <f t="shared" si="92"/>
        <v>4485</v>
      </c>
      <c r="Y212" s="3">
        <f t="shared" si="102"/>
        <v>6045</v>
      </c>
      <c r="Z212" s="2">
        <v>2</v>
      </c>
    </row>
    <row r="213" spans="1:27" hidden="1" x14ac:dyDescent="0.25">
      <c r="A213" s="2">
        <v>321</v>
      </c>
      <c r="B213" s="2" t="s">
        <v>115</v>
      </c>
      <c r="C213" s="2" t="s">
        <v>14</v>
      </c>
      <c r="D213" s="2" t="s">
        <v>14</v>
      </c>
      <c r="E213" s="2" t="s">
        <v>38</v>
      </c>
      <c r="F213" s="2" t="s">
        <v>39</v>
      </c>
      <c r="G213" s="2" t="s">
        <v>50</v>
      </c>
      <c r="H213" s="4">
        <v>45256</v>
      </c>
      <c r="I213" s="51">
        <v>0</v>
      </c>
      <c r="J213" s="262">
        <v>0</v>
      </c>
      <c r="K213" s="264">
        <v>0</v>
      </c>
      <c r="L213" s="5">
        <v>1113</v>
      </c>
      <c r="M213" s="3">
        <f t="shared" si="103"/>
        <v>0</v>
      </c>
      <c r="N213" s="3">
        <f t="shared" si="104"/>
        <v>0</v>
      </c>
      <c r="O213" s="265">
        <f t="shared" si="93"/>
        <v>1113</v>
      </c>
      <c r="P213" s="3">
        <v>0</v>
      </c>
      <c r="Q213" s="3">
        <v>0</v>
      </c>
      <c r="R213" s="3">
        <v>0</v>
      </c>
      <c r="S213" s="3">
        <f t="shared" si="98"/>
        <v>1113</v>
      </c>
      <c r="T213" s="3">
        <f t="shared" si="99"/>
        <v>111.30000000000001</v>
      </c>
      <c r="U213" s="3">
        <f t="shared" si="100"/>
        <v>55.650000000000006</v>
      </c>
      <c r="V213" s="3">
        <f t="shared" si="101"/>
        <v>445.20000000000005</v>
      </c>
      <c r="W213" s="3">
        <f t="shared" ref="W213:W241" si="105">SUM(T213:V213)</f>
        <v>612.15000000000009</v>
      </c>
      <c r="X213" s="3">
        <f t="shared" ref="X213:X241" si="106">SUM(S213:U213)</f>
        <v>1279.95</v>
      </c>
      <c r="Y213" s="3">
        <f t="shared" si="102"/>
        <v>1725.15</v>
      </c>
      <c r="Z213" s="2">
        <v>5</v>
      </c>
    </row>
    <row r="214" spans="1:27" hidden="1" x14ac:dyDescent="0.25">
      <c r="A214" s="2">
        <v>322</v>
      </c>
      <c r="B214" s="2" t="s">
        <v>896</v>
      </c>
      <c r="C214" s="2" t="s">
        <v>46</v>
      </c>
      <c r="D214" s="2" t="s">
        <v>14</v>
      </c>
      <c r="E214" s="2" t="s">
        <v>12</v>
      </c>
      <c r="F214" s="2" t="s">
        <v>40</v>
      </c>
      <c r="G214" s="2" t="s">
        <v>50</v>
      </c>
      <c r="H214" s="4">
        <v>45155</v>
      </c>
      <c r="I214" s="51">
        <v>0</v>
      </c>
      <c r="J214" s="262">
        <v>0</v>
      </c>
      <c r="K214" s="264">
        <v>0</v>
      </c>
      <c r="L214" s="5">
        <v>2000</v>
      </c>
      <c r="M214" s="3">
        <f t="shared" si="103"/>
        <v>0</v>
      </c>
      <c r="N214" s="3">
        <f t="shared" si="104"/>
        <v>0</v>
      </c>
      <c r="O214" s="265">
        <f t="shared" si="93"/>
        <v>2000</v>
      </c>
      <c r="P214" s="3">
        <v>0</v>
      </c>
      <c r="Q214" s="3">
        <v>0</v>
      </c>
      <c r="R214" s="3">
        <v>0</v>
      </c>
      <c r="S214" s="3">
        <f t="shared" si="98"/>
        <v>2000</v>
      </c>
      <c r="T214" s="3">
        <f t="shared" si="99"/>
        <v>200</v>
      </c>
      <c r="U214" s="3">
        <f t="shared" si="100"/>
        <v>100</v>
      </c>
      <c r="V214" s="3">
        <f t="shared" si="101"/>
        <v>800</v>
      </c>
      <c r="W214" s="3">
        <f t="shared" si="105"/>
        <v>1100</v>
      </c>
      <c r="X214" s="3">
        <f t="shared" si="106"/>
        <v>2300</v>
      </c>
      <c r="Y214" s="3">
        <f t="shared" si="102"/>
        <v>3100</v>
      </c>
      <c r="Z214" s="2">
        <v>2</v>
      </c>
    </row>
    <row r="215" spans="1:27" hidden="1" x14ac:dyDescent="0.25">
      <c r="A215" s="2">
        <v>323</v>
      </c>
      <c r="B215" s="2" t="s">
        <v>895</v>
      </c>
      <c r="C215" s="2" t="s">
        <v>44</v>
      </c>
      <c r="D215" s="2" t="s">
        <v>14</v>
      </c>
      <c r="E215" s="2" t="s">
        <v>12</v>
      </c>
      <c r="F215" s="2" t="s">
        <v>40</v>
      </c>
      <c r="G215" s="2" t="s">
        <v>50</v>
      </c>
      <c r="H215" s="4">
        <v>45155</v>
      </c>
      <c r="I215" s="51">
        <v>0</v>
      </c>
      <c r="J215" s="262">
        <v>0</v>
      </c>
      <c r="K215" s="264">
        <v>0</v>
      </c>
      <c r="L215" s="243">
        <v>2100</v>
      </c>
      <c r="M215" s="3">
        <f t="shared" si="103"/>
        <v>0</v>
      </c>
      <c r="N215" s="3">
        <f t="shared" si="104"/>
        <v>0</v>
      </c>
      <c r="O215" s="265">
        <f t="shared" si="93"/>
        <v>2100</v>
      </c>
      <c r="P215" s="3">
        <v>0</v>
      </c>
      <c r="Q215" s="3">
        <v>0</v>
      </c>
      <c r="R215" s="3">
        <v>0</v>
      </c>
      <c r="S215" s="3">
        <f t="shared" si="98"/>
        <v>2100</v>
      </c>
      <c r="T215" s="3">
        <f t="shared" si="99"/>
        <v>210</v>
      </c>
      <c r="U215" s="3">
        <f t="shared" si="100"/>
        <v>105</v>
      </c>
      <c r="V215" s="3">
        <f t="shared" si="101"/>
        <v>840</v>
      </c>
      <c r="W215" s="3">
        <f t="shared" si="105"/>
        <v>1155</v>
      </c>
      <c r="X215" s="3">
        <f t="shared" si="106"/>
        <v>2415</v>
      </c>
      <c r="Y215" s="3">
        <f t="shared" si="102"/>
        <v>3255</v>
      </c>
      <c r="Z215" s="2">
        <v>2</v>
      </c>
    </row>
    <row r="216" spans="1:27" hidden="1" x14ac:dyDescent="0.25">
      <c r="A216" s="2">
        <v>324</v>
      </c>
      <c r="B216" s="2" t="s">
        <v>658</v>
      </c>
      <c r="C216" s="2" t="s">
        <v>44</v>
      </c>
      <c r="D216" s="2" t="s">
        <v>14</v>
      </c>
      <c r="E216" s="8" t="s">
        <v>761</v>
      </c>
      <c r="F216" s="2" t="s">
        <v>35</v>
      </c>
      <c r="G216" s="2" t="s">
        <v>823</v>
      </c>
      <c r="H216" s="4">
        <v>45910</v>
      </c>
      <c r="I216" s="51">
        <v>36</v>
      </c>
      <c r="J216" s="262">
        <v>0</v>
      </c>
      <c r="K216" s="264">
        <v>0</v>
      </c>
      <c r="L216" s="5">
        <v>0</v>
      </c>
      <c r="M216" s="3">
        <f t="shared" si="103"/>
        <v>20.358000000000001</v>
      </c>
      <c r="N216" s="3">
        <f t="shared" si="104"/>
        <v>27.144000000000002</v>
      </c>
      <c r="O216" s="265">
        <f t="shared" ref="O216:O220" si="107">N216+M216+L216+1.1*K216+J216*4.3+I216*3.77</f>
        <v>183.22200000000001</v>
      </c>
      <c r="P216" s="3">
        <v>0</v>
      </c>
      <c r="Q216" s="3">
        <v>0</v>
      </c>
      <c r="R216" s="3">
        <v>0</v>
      </c>
      <c r="S216" s="3">
        <f t="shared" si="98"/>
        <v>183.22200000000001</v>
      </c>
      <c r="T216" s="3">
        <f t="shared" si="99"/>
        <v>18.322200000000002</v>
      </c>
      <c r="U216" s="3">
        <f t="shared" si="100"/>
        <v>9.1611000000000011</v>
      </c>
      <c r="V216" s="3">
        <f t="shared" si="101"/>
        <v>73.288800000000009</v>
      </c>
      <c r="W216" s="3">
        <f t="shared" si="105"/>
        <v>100.77210000000001</v>
      </c>
      <c r="X216" s="3">
        <f t="shared" si="106"/>
        <v>210.70530000000002</v>
      </c>
      <c r="Y216" s="3">
        <f t="shared" si="102"/>
        <v>283.9941</v>
      </c>
      <c r="Z216" s="2">
        <v>2</v>
      </c>
    </row>
    <row r="217" spans="1:27" hidden="1" x14ac:dyDescent="0.25">
      <c r="A217" s="2">
        <v>325</v>
      </c>
      <c r="B217" s="2" t="s">
        <v>897</v>
      </c>
      <c r="C217" s="2" t="s">
        <v>44</v>
      </c>
      <c r="D217" s="2" t="s">
        <v>14</v>
      </c>
      <c r="E217" s="8" t="s">
        <v>761</v>
      </c>
      <c r="F217" s="2" t="s">
        <v>41</v>
      </c>
      <c r="G217" s="2" t="s">
        <v>823</v>
      </c>
      <c r="H217" s="4">
        <v>45910</v>
      </c>
      <c r="I217" s="51">
        <v>440</v>
      </c>
      <c r="J217" s="262">
        <v>0</v>
      </c>
      <c r="K217" s="264">
        <v>0</v>
      </c>
      <c r="L217" s="5">
        <v>0</v>
      </c>
      <c r="M217" s="3">
        <f t="shared" si="103"/>
        <v>248.82</v>
      </c>
      <c r="N217" s="3">
        <f t="shared" si="104"/>
        <v>331.76</v>
      </c>
      <c r="O217" s="265">
        <f t="shared" si="107"/>
        <v>2239.38</v>
      </c>
      <c r="P217" s="3">
        <v>0</v>
      </c>
      <c r="Q217" s="3">
        <v>0</v>
      </c>
      <c r="R217" s="3">
        <v>0</v>
      </c>
      <c r="S217" s="3">
        <f t="shared" si="98"/>
        <v>2239.38</v>
      </c>
      <c r="T217" s="3">
        <f t="shared" si="99"/>
        <v>223.93800000000002</v>
      </c>
      <c r="U217" s="3">
        <f t="shared" si="100"/>
        <v>111.96900000000001</v>
      </c>
      <c r="V217" s="3">
        <f t="shared" si="101"/>
        <v>895.75200000000007</v>
      </c>
      <c r="W217" s="3">
        <f t="shared" si="105"/>
        <v>1231.6590000000001</v>
      </c>
      <c r="X217" s="3">
        <f t="shared" si="106"/>
        <v>2575.2870000000003</v>
      </c>
      <c r="Y217" s="3">
        <f t="shared" si="102"/>
        <v>3471.0390000000002</v>
      </c>
      <c r="Z217" s="2">
        <v>2</v>
      </c>
    </row>
    <row r="218" spans="1:27" hidden="1" x14ac:dyDescent="0.25">
      <c r="A218" s="2">
        <v>326</v>
      </c>
      <c r="B218" s="2" t="s">
        <v>898</v>
      </c>
      <c r="C218" s="6" t="s">
        <v>45</v>
      </c>
      <c r="D218" s="2" t="s">
        <v>14</v>
      </c>
      <c r="E218" s="8" t="s">
        <v>761</v>
      </c>
      <c r="F218" s="2" t="s">
        <v>41</v>
      </c>
      <c r="G218" s="2" t="s">
        <v>823</v>
      </c>
      <c r="H218" s="4">
        <v>45910</v>
      </c>
      <c r="I218" s="51">
        <v>900</v>
      </c>
      <c r="J218" s="262">
        <v>0</v>
      </c>
      <c r="K218" s="264">
        <v>0</v>
      </c>
      <c r="L218" s="5">
        <v>0</v>
      </c>
      <c r="M218" s="3">
        <f t="shared" si="103"/>
        <v>508.95</v>
      </c>
      <c r="N218" s="3">
        <f t="shared" si="104"/>
        <v>678.6</v>
      </c>
      <c r="O218" s="265">
        <f t="shared" si="107"/>
        <v>4580.55</v>
      </c>
      <c r="P218" s="3">
        <v>0</v>
      </c>
      <c r="Q218" s="3">
        <v>0</v>
      </c>
      <c r="R218" s="3">
        <v>0</v>
      </c>
      <c r="S218" s="3">
        <f t="shared" si="98"/>
        <v>4580.55</v>
      </c>
      <c r="T218" s="3">
        <f t="shared" si="99"/>
        <v>458.05500000000006</v>
      </c>
      <c r="U218" s="3">
        <f t="shared" si="100"/>
        <v>229.02750000000003</v>
      </c>
      <c r="V218" s="3">
        <f t="shared" si="101"/>
        <v>1832.2200000000003</v>
      </c>
      <c r="W218" s="3">
        <f t="shared" si="105"/>
        <v>2519.3025000000002</v>
      </c>
      <c r="X218" s="3">
        <f t="shared" si="106"/>
        <v>5267.6325000000006</v>
      </c>
      <c r="Y218" s="3">
        <f t="shared" si="102"/>
        <v>7099.8525000000009</v>
      </c>
      <c r="Z218" s="2">
        <v>2</v>
      </c>
    </row>
    <row r="219" spans="1:27" hidden="1" x14ac:dyDescent="0.25">
      <c r="A219" s="2">
        <v>327</v>
      </c>
      <c r="B219" s="2" t="s">
        <v>652</v>
      </c>
      <c r="C219" s="2" t="s">
        <v>14</v>
      </c>
      <c r="D219" s="2" t="s">
        <v>14</v>
      </c>
      <c r="E219" s="2" t="s">
        <v>48</v>
      </c>
      <c r="F219" s="2" t="s">
        <v>48</v>
      </c>
      <c r="G219" s="2" t="s">
        <v>824</v>
      </c>
      <c r="H219" s="4" t="s">
        <v>14</v>
      </c>
      <c r="I219" s="51">
        <v>0</v>
      </c>
      <c r="J219" s="262">
        <f>(530+296+189+525)*0.65</f>
        <v>1001</v>
      </c>
      <c r="K219" s="264">
        <v>0</v>
      </c>
      <c r="L219" s="5">
        <v>0</v>
      </c>
      <c r="M219" s="3">
        <f t="shared" si="103"/>
        <v>645.64499999999998</v>
      </c>
      <c r="N219" s="3">
        <f t="shared" si="104"/>
        <v>860.86000000000013</v>
      </c>
      <c r="O219" s="265">
        <f t="shared" si="107"/>
        <v>5810.8050000000003</v>
      </c>
      <c r="P219" s="3">
        <v>0</v>
      </c>
      <c r="Q219" s="3">
        <v>0</v>
      </c>
      <c r="R219" s="3">
        <v>0</v>
      </c>
      <c r="S219" s="3">
        <f t="shared" si="98"/>
        <v>5810.8050000000003</v>
      </c>
      <c r="T219" s="3">
        <f t="shared" si="99"/>
        <v>581.08050000000003</v>
      </c>
      <c r="U219" s="3">
        <f t="shared" si="100"/>
        <v>290.54025000000001</v>
      </c>
      <c r="V219" s="3">
        <f t="shared" si="101"/>
        <v>2324.3220000000001</v>
      </c>
      <c r="W219" s="3">
        <f t="shared" si="105"/>
        <v>3195.9427500000002</v>
      </c>
      <c r="X219" s="3">
        <f t="shared" si="106"/>
        <v>6682.4257500000003</v>
      </c>
      <c r="Y219" s="3">
        <f t="shared" si="102"/>
        <v>9006.7477500000005</v>
      </c>
      <c r="Z219" s="2">
        <v>2</v>
      </c>
    </row>
    <row r="220" spans="1:27" hidden="1" x14ac:dyDescent="0.25">
      <c r="A220" s="2">
        <v>328</v>
      </c>
      <c r="B220" s="2" t="s">
        <v>116</v>
      </c>
      <c r="C220" s="2" t="s">
        <v>14</v>
      </c>
      <c r="D220" s="2" t="s">
        <v>14</v>
      </c>
      <c r="E220" s="2" t="s">
        <v>48</v>
      </c>
      <c r="F220" s="2" t="s">
        <v>48</v>
      </c>
      <c r="G220" s="2" t="s">
        <v>824</v>
      </c>
      <c r="H220" s="4">
        <v>45218</v>
      </c>
      <c r="I220" s="51">
        <v>0</v>
      </c>
      <c r="J220" s="262">
        <f>(155+58-25)*0.8</f>
        <v>150.4</v>
      </c>
      <c r="K220" s="264">
        <v>0</v>
      </c>
      <c r="L220" s="3">
        <v>0</v>
      </c>
      <c r="M220" s="3">
        <f t="shared" si="103"/>
        <v>97.007999999999996</v>
      </c>
      <c r="N220" s="3">
        <f t="shared" si="104"/>
        <v>129.34400000000002</v>
      </c>
      <c r="O220" s="265">
        <f t="shared" si="107"/>
        <v>873.07200000000012</v>
      </c>
      <c r="P220" s="3">
        <v>0</v>
      </c>
      <c r="Q220" s="3">
        <v>0</v>
      </c>
      <c r="R220" s="3">
        <v>0</v>
      </c>
      <c r="S220" s="3">
        <f t="shared" si="98"/>
        <v>873.07200000000012</v>
      </c>
      <c r="T220" s="3">
        <f t="shared" si="99"/>
        <v>87.307200000000023</v>
      </c>
      <c r="U220" s="3">
        <f t="shared" si="100"/>
        <v>43.653600000000012</v>
      </c>
      <c r="V220" s="3">
        <f t="shared" si="101"/>
        <v>349.22880000000009</v>
      </c>
      <c r="W220" s="3">
        <f t="shared" si="105"/>
        <v>480.18960000000015</v>
      </c>
      <c r="X220" s="3">
        <f t="shared" si="106"/>
        <v>1004.0328000000001</v>
      </c>
      <c r="Y220" s="3">
        <f t="shared" si="102"/>
        <v>1353.2616000000003</v>
      </c>
      <c r="Z220" s="2">
        <v>2</v>
      </c>
    </row>
    <row r="221" spans="1:27" hidden="1" x14ac:dyDescent="0.25">
      <c r="A221" s="2">
        <v>335</v>
      </c>
      <c r="B221" s="2" t="s">
        <v>144</v>
      </c>
      <c r="C221" s="2" t="s">
        <v>24</v>
      </c>
      <c r="D221" s="2" t="s">
        <v>14</v>
      </c>
      <c r="E221" s="2" t="s">
        <v>51</v>
      </c>
      <c r="F221" s="2" t="s">
        <v>52</v>
      </c>
      <c r="G221" s="2" t="s">
        <v>50</v>
      </c>
      <c r="H221" s="4" t="s">
        <v>54</v>
      </c>
      <c r="I221" s="51">
        <v>0</v>
      </c>
      <c r="J221" s="262">
        <v>0</v>
      </c>
      <c r="K221" s="264">
        <v>0</v>
      </c>
      <c r="L221" s="3">
        <f>85/6</f>
        <v>14.166666666666666</v>
      </c>
      <c r="M221" s="3">
        <f t="shared" si="103"/>
        <v>0</v>
      </c>
      <c r="N221" s="3">
        <f t="shared" si="104"/>
        <v>0</v>
      </c>
      <c r="O221" s="265">
        <f t="shared" ref="O221:O241" si="108">N221+M221+L221+1.1*K221+J221*4.3+I221*3.77</f>
        <v>14.166666666666666</v>
      </c>
      <c r="P221" s="3">
        <v>0</v>
      </c>
      <c r="Q221" s="3">
        <v>0</v>
      </c>
      <c r="R221" s="3">
        <f t="shared" ref="R221:R238" si="109">2*L221</f>
        <v>28.333333333333332</v>
      </c>
      <c r="S221" s="3">
        <f t="shared" si="98"/>
        <v>42.5</v>
      </c>
      <c r="T221" s="3">
        <f t="shared" si="99"/>
        <v>4.25</v>
      </c>
      <c r="U221" s="3">
        <f t="shared" si="100"/>
        <v>2.125</v>
      </c>
      <c r="V221" s="3">
        <f t="shared" si="101"/>
        <v>17</v>
      </c>
      <c r="W221" s="3">
        <f t="shared" si="105"/>
        <v>23.375</v>
      </c>
      <c r="X221" s="3">
        <f t="shared" si="106"/>
        <v>48.875</v>
      </c>
      <c r="Y221" s="3">
        <f t="shared" si="102"/>
        <v>65.875</v>
      </c>
      <c r="Z221" s="2">
        <v>2</v>
      </c>
    </row>
    <row r="222" spans="1:27" hidden="1" x14ac:dyDescent="0.25">
      <c r="A222" s="2">
        <v>336</v>
      </c>
      <c r="B222" s="2" t="s">
        <v>145</v>
      </c>
      <c r="C222" s="2" t="s">
        <v>25</v>
      </c>
      <c r="D222" s="2" t="s">
        <v>14</v>
      </c>
      <c r="E222" s="2" t="s">
        <v>51</v>
      </c>
      <c r="F222" s="2" t="s">
        <v>52</v>
      </c>
      <c r="G222" s="2" t="s">
        <v>50</v>
      </c>
      <c r="H222" s="4" t="s">
        <v>54</v>
      </c>
      <c r="I222" s="51">
        <v>0</v>
      </c>
      <c r="J222" s="262">
        <v>0</v>
      </c>
      <c r="K222" s="264">
        <v>0</v>
      </c>
      <c r="L222" s="3">
        <f>114/6</f>
        <v>19</v>
      </c>
      <c r="M222" s="3">
        <f t="shared" si="103"/>
        <v>0</v>
      </c>
      <c r="N222" s="3">
        <f t="shared" si="104"/>
        <v>0</v>
      </c>
      <c r="O222" s="265">
        <f t="shared" si="108"/>
        <v>19</v>
      </c>
      <c r="P222" s="3">
        <v>0</v>
      </c>
      <c r="Q222" s="3">
        <v>0</v>
      </c>
      <c r="R222" s="3">
        <f t="shared" si="109"/>
        <v>38</v>
      </c>
      <c r="S222" s="3">
        <f t="shared" si="98"/>
        <v>57</v>
      </c>
      <c r="T222" s="3">
        <f t="shared" si="99"/>
        <v>5.7</v>
      </c>
      <c r="U222" s="3">
        <f t="shared" si="100"/>
        <v>2.85</v>
      </c>
      <c r="V222" s="3">
        <f t="shared" si="101"/>
        <v>22.8</v>
      </c>
      <c r="W222" s="3">
        <f t="shared" si="105"/>
        <v>31.35</v>
      </c>
      <c r="X222" s="3">
        <f t="shared" si="106"/>
        <v>65.55</v>
      </c>
      <c r="Y222" s="3">
        <f t="shared" si="102"/>
        <v>88.35</v>
      </c>
      <c r="Z222" s="2">
        <v>2</v>
      </c>
    </row>
    <row r="223" spans="1:27" hidden="1" x14ac:dyDescent="0.25">
      <c r="A223" s="2">
        <v>337</v>
      </c>
      <c r="B223" s="2" t="s">
        <v>146</v>
      </c>
      <c r="C223" s="2" t="s">
        <v>26</v>
      </c>
      <c r="D223" s="2" t="s">
        <v>14</v>
      </c>
      <c r="E223" s="2" t="s">
        <v>51</v>
      </c>
      <c r="F223" s="2" t="s">
        <v>52</v>
      </c>
      <c r="G223" s="2" t="s">
        <v>50</v>
      </c>
      <c r="H223" s="4" t="s">
        <v>54</v>
      </c>
      <c r="I223" s="51">
        <v>0</v>
      </c>
      <c r="J223" s="262">
        <v>0</v>
      </c>
      <c r="K223" s="264">
        <v>0</v>
      </c>
      <c r="L223" s="3">
        <f>137/6</f>
        <v>22.833333333333332</v>
      </c>
      <c r="M223" s="3">
        <f t="shared" si="103"/>
        <v>0</v>
      </c>
      <c r="N223" s="3">
        <f t="shared" si="104"/>
        <v>0</v>
      </c>
      <c r="O223" s="265">
        <f t="shared" si="108"/>
        <v>22.833333333333332</v>
      </c>
      <c r="P223" s="3">
        <v>0</v>
      </c>
      <c r="Q223" s="3">
        <v>0</v>
      </c>
      <c r="R223" s="3">
        <f t="shared" si="109"/>
        <v>45.666666666666664</v>
      </c>
      <c r="S223" s="3">
        <f t="shared" si="98"/>
        <v>68.5</v>
      </c>
      <c r="T223" s="3">
        <f t="shared" si="99"/>
        <v>6.8500000000000005</v>
      </c>
      <c r="U223" s="3">
        <f t="shared" si="100"/>
        <v>3.4250000000000003</v>
      </c>
      <c r="V223" s="3">
        <f t="shared" si="101"/>
        <v>27.400000000000002</v>
      </c>
      <c r="W223" s="3">
        <f t="shared" si="105"/>
        <v>37.675000000000004</v>
      </c>
      <c r="X223" s="3">
        <f t="shared" si="106"/>
        <v>78.774999999999991</v>
      </c>
      <c r="Y223" s="3">
        <f t="shared" si="102"/>
        <v>106.17500000000001</v>
      </c>
      <c r="Z223" s="2">
        <v>2.5</v>
      </c>
    </row>
    <row r="224" spans="1:27" hidden="1" x14ac:dyDescent="0.25">
      <c r="A224" s="2">
        <v>338</v>
      </c>
      <c r="B224" s="2" t="s">
        <v>147</v>
      </c>
      <c r="C224" s="2" t="s">
        <v>27</v>
      </c>
      <c r="D224" s="2" t="s">
        <v>14</v>
      </c>
      <c r="E224" s="2" t="s">
        <v>51</v>
      </c>
      <c r="F224" s="2" t="s">
        <v>52</v>
      </c>
      <c r="G224" s="2" t="s">
        <v>50</v>
      </c>
      <c r="H224" s="4" t="s">
        <v>54</v>
      </c>
      <c r="I224" s="51">
        <v>0</v>
      </c>
      <c r="J224" s="262">
        <v>0</v>
      </c>
      <c r="K224" s="264">
        <v>0</v>
      </c>
      <c r="L224" s="3">
        <f>184/6</f>
        <v>30.666666666666668</v>
      </c>
      <c r="M224" s="3">
        <f t="shared" si="103"/>
        <v>0</v>
      </c>
      <c r="N224" s="3">
        <f t="shared" si="104"/>
        <v>0</v>
      </c>
      <c r="O224" s="265">
        <f t="shared" si="108"/>
        <v>30.666666666666668</v>
      </c>
      <c r="P224" s="3">
        <v>0</v>
      </c>
      <c r="Q224" s="3">
        <v>0</v>
      </c>
      <c r="R224" s="3">
        <f t="shared" si="109"/>
        <v>61.333333333333336</v>
      </c>
      <c r="S224" s="3">
        <f t="shared" si="98"/>
        <v>92</v>
      </c>
      <c r="T224" s="3">
        <f t="shared" si="99"/>
        <v>9.2000000000000011</v>
      </c>
      <c r="U224" s="3">
        <f t="shared" si="100"/>
        <v>4.6000000000000005</v>
      </c>
      <c r="V224" s="3">
        <f t="shared" si="101"/>
        <v>36.800000000000004</v>
      </c>
      <c r="W224" s="3">
        <f t="shared" si="105"/>
        <v>50.600000000000009</v>
      </c>
      <c r="X224" s="3">
        <f t="shared" si="106"/>
        <v>105.8</v>
      </c>
      <c r="Y224" s="3">
        <f t="shared" si="102"/>
        <v>142.60000000000002</v>
      </c>
      <c r="Z224" s="2">
        <v>2.5</v>
      </c>
    </row>
    <row r="225" spans="1:26" hidden="1" x14ac:dyDescent="0.25">
      <c r="A225" s="2">
        <v>339</v>
      </c>
      <c r="B225" s="2" t="s">
        <v>148</v>
      </c>
      <c r="C225" s="2" t="s">
        <v>28</v>
      </c>
      <c r="D225" s="2" t="s">
        <v>14</v>
      </c>
      <c r="E225" s="2" t="s">
        <v>51</v>
      </c>
      <c r="F225" s="2" t="s">
        <v>52</v>
      </c>
      <c r="G225" s="2" t="s">
        <v>50</v>
      </c>
      <c r="H225" s="4" t="s">
        <v>54</v>
      </c>
      <c r="I225" s="51">
        <v>0</v>
      </c>
      <c r="J225" s="262">
        <v>0</v>
      </c>
      <c r="K225" s="264">
        <v>0</v>
      </c>
      <c r="L225" s="3">
        <v>50</v>
      </c>
      <c r="M225" s="3">
        <f t="shared" si="103"/>
        <v>0</v>
      </c>
      <c r="N225" s="3">
        <f t="shared" si="104"/>
        <v>0</v>
      </c>
      <c r="O225" s="265">
        <f t="shared" si="108"/>
        <v>50</v>
      </c>
      <c r="P225" s="3">
        <v>0</v>
      </c>
      <c r="Q225" s="3">
        <v>0</v>
      </c>
      <c r="R225" s="3">
        <f t="shared" si="109"/>
        <v>100</v>
      </c>
      <c r="S225" s="3">
        <f t="shared" si="98"/>
        <v>150</v>
      </c>
      <c r="T225" s="3">
        <f t="shared" si="99"/>
        <v>15</v>
      </c>
      <c r="U225" s="3">
        <f t="shared" si="100"/>
        <v>7.5</v>
      </c>
      <c r="V225" s="3">
        <f t="shared" si="101"/>
        <v>60</v>
      </c>
      <c r="W225" s="3">
        <f t="shared" si="105"/>
        <v>82.5</v>
      </c>
      <c r="X225" s="3">
        <f t="shared" si="106"/>
        <v>172.5</v>
      </c>
      <c r="Y225" s="3">
        <f t="shared" si="102"/>
        <v>232.5</v>
      </c>
      <c r="Z225" s="2">
        <v>5</v>
      </c>
    </row>
    <row r="226" spans="1:26" hidden="1" x14ac:dyDescent="0.25">
      <c r="A226" s="2">
        <v>340</v>
      </c>
      <c r="B226" s="2" t="s">
        <v>149</v>
      </c>
      <c r="C226" s="2" t="s">
        <v>29</v>
      </c>
      <c r="D226" s="2" t="s">
        <v>14</v>
      </c>
      <c r="E226" s="2" t="s">
        <v>51</v>
      </c>
      <c r="F226" s="2" t="s">
        <v>52</v>
      </c>
      <c r="G226" s="2" t="s">
        <v>50</v>
      </c>
      <c r="H226" s="4" t="s">
        <v>54</v>
      </c>
      <c r="I226" s="51">
        <v>0</v>
      </c>
      <c r="J226" s="262">
        <v>0</v>
      </c>
      <c r="K226" s="264">
        <v>0</v>
      </c>
      <c r="L226" s="3">
        <f>343/6</f>
        <v>57.166666666666664</v>
      </c>
      <c r="M226" s="3">
        <f t="shared" si="103"/>
        <v>0</v>
      </c>
      <c r="N226" s="3">
        <f t="shared" si="104"/>
        <v>0</v>
      </c>
      <c r="O226" s="265">
        <f t="shared" si="108"/>
        <v>57.166666666666664</v>
      </c>
      <c r="P226" s="3">
        <v>0</v>
      </c>
      <c r="Q226" s="3">
        <v>0</v>
      </c>
      <c r="R226" s="3">
        <f t="shared" si="109"/>
        <v>114.33333333333333</v>
      </c>
      <c r="S226" s="3">
        <f t="shared" si="98"/>
        <v>171.5</v>
      </c>
      <c r="T226" s="3">
        <f t="shared" si="99"/>
        <v>17.150000000000002</v>
      </c>
      <c r="U226" s="3">
        <f t="shared" si="100"/>
        <v>8.5750000000000011</v>
      </c>
      <c r="V226" s="3">
        <f t="shared" si="101"/>
        <v>68.600000000000009</v>
      </c>
      <c r="W226" s="3">
        <f t="shared" si="105"/>
        <v>94.325000000000017</v>
      </c>
      <c r="X226" s="3">
        <f t="shared" si="106"/>
        <v>197.22499999999999</v>
      </c>
      <c r="Y226" s="3">
        <f t="shared" si="102"/>
        <v>265.82500000000005</v>
      </c>
      <c r="Z226" s="2">
        <v>5</v>
      </c>
    </row>
    <row r="227" spans="1:26" hidden="1" x14ac:dyDescent="0.25">
      <c r="A227" s="2">
        <v>341</v>
      </c>
      <c r="B227" s="2" t="s">
        <v>550</v>
      </c>
      <c r="C227" s="2" t="s">
        <v>521</v>
      </c>
      <c r="D227" s="2" t="s">
        <v>14</v>
      </c>
      <c r="E227" s="2" t="s">
        <v>51</v>
      </c>
      <c r="F227" s="2" t="s">
        <v>52</v>
      </c>
      <c r="G227" s="2" t="s">
        <v>50</v>
      </c>
      <c r="H227" s="4" t="s">
        <v>54</v>
      </c>
      <c r="I227" s="51">
        <v>0</v>
      </c>
      <c r="J227" s="262">
        <v>0</v>
      </c>
      <c r="K227" s="264">
        <v>0</v>
      </c>
      <c r="L227" s="196">
        <v>72.5</v>
      </c>
      <c r="M227" s="3">
        <f t="shared" si="103"/>
        <v>0</v>
      </c>
      <c r="N227" s="3">
        <f t="shared" si="104"/>
        <v>0</v>
      </c>
      <c r="O227" s="265">
        <f t="shared" si="108"/>
        <v>72.5</v>
      </c>
      <c r="P227" s="3">
        <v>0</v>
      </c>
      <c r="Q227" s="3">
        <v>0</v>
      </c>
      <c r="R227" s="3">
        <f t="shared" si="109"/>
        <v>145</v>
      </c>
      <c r="S227" s="3">
        <f t="shared" si="98"/>
        <v>217.5</v>
      </c>
      <c r="T227" s="3">
        <f t="shared" si="99"/>
        <v>21.75</v>
      </c>
      <c r="U227" s="3">
        <f t="shared" si="100"/>
        <v>10.875</v>
      </c>
      <c r="V227" s="3">
        <f t="shared" si="101"/>
        <v>87</v>
      </c>
      <c r="W227" s="3">
        <f t="shared" si="105"/>
        <v>119.625</v>
      </c>
      <c r="X227" s="3">
        <f t="shared" si="106"/>
        <v>250.125</v>
      </c>
      <c r="Y227" s="3">
        <f t="shared" si="102"/>
        <v>337.125</v>
      </c>
      <c r="Z227" s="2">
        <v>6</v>
      </c>
    </row>
    <row r="228" spans="1:26" hidden="1" x14ac:dyDescent="0.25">
      <c r="A228" s="2">
        <v>354</v>
      </c>
      <c r="B228" s="2" t="s">
        <v>526</v>
      </c>
      <c r="C228" s="2" t="s">
        <v>531</v>
      </c>
      <c r="D228" s="2" t="s">
        <v>14</v>
      </c>
      <c r="E228" s="2" t="s">
        <v>51</v>
      </c>
      <c r="F228" s="2" t="s">
        <v>52</v>
      </c>
      <c r="G228" s="2" t="s">
        <v>50</v>
      </c>
      <c r="H228" s="4" t="s">
        <v>54</v>
      </c>
      <c r="I228" s="51">
        <v>0</v>
      </c>
      <c r="J228" s="262">
        <v>0</v>
      </c>
      <c r="K228" s="264">
        <v>0</v>
      </c>
      <c r="L228" s="3">
        <f>63/6</f>
        <v>10.5</v>
      </c>
      <c r="M228" s="3">
        <f t="shared" si="103"/>
        <v>0</v>
      </c>
      <c r="N228" s="3">
        <f t="shared" si="104"/>
        <v>0</v>
      </c>
      <c r="O228" s="265">
        <f t="shared" si="108"/>
        <v>10.5</v>
      </c>
      <c r="P228" s="3">
        <v>0</v>
      </c>
      <c r="Q228" s="3">
        <v>0</v>
      </c>
      <c r="R228" s="3">
        <v>0</v>
      </c>
      <c r="S228" s="3">
        <f t="shared" si="98"/>
        <v>10.5</v>
      </c>
      <c r="T228" s="3">
        <f t="shared" si="99"/>
        <v>1.05</v>
      </c>
      <c r="U228" s="3">
        <f t="shared" si="100"/>
        <v>0.52500000000000002</v>
      </c>
      <c r="V228" s="3">
        <f t="shared" si="101"/>
        <v>4.2</v>
      </c>
      <c r="W228" s="3">
        <f t="shared" si="105"/>
        <v>5.7750000000000004</v>
      </c>
      <c r="X228" s="3">
        <f t="shared" si="106"/>
        <v>12.075000000000001</v>
      </c>
      <c r="Y228" s="3">
        <f t="shared" si="102"/>
        <v>16.274999999999999</v>
      </c>
      <c r="Z228" s="2">
        <v>2</v>
      </c>
    </row>
    <row r="229" spans="1:26" hidden="1" x14ac:dyDescent="0.25">
      <c r="A229" s="2">
        <v>355</v>
      </c>
      <c r="B229" s="2" t="s">
        <v>527</v>
      </c>
      <c r="C229" s="2" t="s">
        <v>24</v>
      </c>
      <c r="D229" s="2" t="s">
        <v>14</v>
      </c>
      <c r="E229" s="2" t="s">
        <v>51</v>
      </c>
      <c r="F229" s="2" t="s">
        <v>52</v>
      </c>
      <c r="G229" s="2" t="s">
        <v>50</v>
      </c>
      <c r="H229" s="4" t="s">
        <v>54</v>
      </c>
      <c r="I229" s="51">
        <v>0</v>
      </c>
      <c r="J229" s="262">
        <v>0</v>
      </c>
      <c r="K229" s="264">
        <v>0</v>
      </c>
      <c r="L229" s="3">
        <f>95/6</f>
        <v>15.833333333333334</v>
      </c>
      <c r="M229" s="3">
        <f t="shared" si="103"/>
        <v>0</v>
      </c>
      <c r="N229" s="3">
        <f t="shared" si="104"/>
        <v>0</v>
      </c>
      <c r="O229" s="265">
        <f t="shared" si="108"/>
        <v>15.833333333333334</v>
      </c>
      <c r="P229" s="3">
        <v>0</v>
      </c>
      <c r="Q229" s="3">
        <v>0</v>
      </c>
      <c r="R229" s="3">
        <v>0</v>
      </c>
      <c r="S229" s="3">
        <f t="shared" si="98"/>
        <v>15.833333333333334</v>
      </c>
      <c r="T229" s="3">
        <f t="shared" si="99"/>
        <v>1.5833333333333335</v>
      </c>
      <c r="U229" s="3">
        <f t="shared" si="100"/>
        <v>0.79166666666666674</v>
      </c>
      <c r="V229" s="3">
        <f t="shared" si="101"/>
        <v>6.3333333333333339</v>
      </c>
      <c r="W229" s="3">
        <f t="shared" si="105"/>
        <v>8.7083333333333339</v>
      </c>
      <c r="X229" s="3">
        <f t="shared" si="106"/>
        <v>18.208333333333336</v>
      </c>
      <c r="Y229" s="3">
        <f t="shared" si="102"/>
        <v>24.541666666666668</v>
      </c>
      <c r="Z229" s="2">
        <v>2</v>
      </c>
    </row>
    <row r="230" spans="1:26" hidden="1" x14ac:dyDescent="0.25">
      <c r="A230" s="2">
        <v>356</v>
      </c>
      <c r="B230" s="2" t="s">
        <v>528</v>
      </c>
      <c r="C230" s="2" t="s">
        <v>25</v>
      </c>
      <c r="D230" s="2" t="s">
        <v>14</v>
      </c>
      <c r="E230" s="2" t="s">
        <v>51</v>
      </c>
      <c r="F230" s="2" t="s">
        <v>52</v>
      </c>
      <c r="G230" s="2" t="s">
        <v>50</v>
      </c>
      <c r="H230" s="4" t="s">
        <v>54</v>
      </c>
      <c r="I230" s="51">
        <v>0</v>
      </c>
      <c r="J230" s="262">
        <v>0</v>
      </c>
      <c r="K230" s="264">
        <v>0</v>
      </c>
      <c r="L230" s="3">
        <f>122/6</f>
        <v>20.333333333333332</v>
      </c>
      <c r="M230" s="3">
        <f t="shared" si="103"/>
        <v>0</v>
      </c>
      <c r="N230" s="3">
        <f t="shared" si="104"/>
        <v>0</v>
      </c>
      <c r="O230" s="265">
        <f t="shared" si="108"/>
        <v>20.333333333333332</v>
      </c>
      <c r="P230" s="3">
        <v>0</v>
      </c>
      <c r="Q230" s="3">
        <v>0</v>
      </c>
      <c r="R230" s="3">
        <v>0</v>
      </c>
      <c r="S230" s="3">
        <f t="shared" si="98"/>
        <v>20.333333333333332</v>
      </c>
      <c r="T230" s="3">
        <f t="shared" si="99"/>
        <v>2.0333333333333332</v>
      </c>
      <c r="U230" s="3">
        <f t="shared" si="100"/>
        <v>1.0166666666666666</v>
      </c>
      <c r="V230" s="3">
        <f t="shared" si="101"/>
        <v>8.1333333333333329</v>
      </c>
      <c r="W230" s="3">
        <f t="shared" si="105"/>
        <v>11.183333333333334</v>
      </c>
      <c r="X230" s="3">
        <f t="shared" si="106"/>
        <v>23.383333333333333</v>
      </c>
      <c r="Y230" s="3">
        <f t="shared" si="102"/>
        <v>31.516666666666666</v>
      </c>
      <c r="Z230" s="2">
        <v>2</v>
      </c>
    </row>
    <row r="231" spans="1:26" hidden="1" x14ac:dyDescent="0.25">
      <c r="A231" s="2">
        <v>357</v>
      </c>
      <c r="B231" s="2" t="s">
        <v>529</v>
      </c>
      <c r="C231" s="2" t="s">
        <v>26</v>
      </c>
      <c r="D231" s="2" t="s">
        <v>14</v>
      </c>
      <c r="E231" s="2" t="s">
        <v>51</v>
      </c>
      <c r="F231" s="2" t="s">
        <v>52</v>
      </c>
      <c r="G231" s="2" t="s">
        <v>50</v>
      </c>
      <c r="H231" s="4" t="s">
        <v>54</v>
      </c>
      <c r="I231" s="51">
        <v>0</v>
      </c>
      <c r="J231" s="262">
        <v>0</v>
      </c>
      <c r="K231" s="264">
        <v>0</v>
      </c>
      <c r="L231" s="3">
        <f>141/6</f>
        <v>23.5</v>
      </c>
      <c r="M231" s="3">
        <f t="shared" si="103"/>
        <v>0</v>
      </c>
      <c r="N231" s="3">
        <f t="shared" si="104"/>
        <v>0</v>
      </c>
      <c r="O231" s="265">
        <f t="shared" si="108"/>
        <v>23.5</v>
      </c>
      <c r="P231" s="3">
        <v>0</v>
      </c>
      <c r="Q231" s="3">
        <v>0</v>
      </c>
      <c r="R231" s="3">
        <v>0</v>
      </c>
      <c r="S231" s="3">
        <f t="shared" si="98"/>
        <v>23.5</v>
      </c>
      <c r="T231" s="3">
        <f t="shared" si="99"/>
        <v>2.35</v>
      </c>
      <c r="U231" s="3">
        <f t="shared" si="100"/>
        <v>1.175</v>
      </c>
      <c r="V231" s="3">
        <f t="shared" si="101"/>
        <v>9.4</v>
      </c>
      <c r="W231" s="3">
        <f t="shared" si="105"/>
        <v>12.925000000000001</v>
      </c>
      <c r="X231" s="3">
        <f t="shared" si="106"/>
        <v>27.025000000000002</v>
      </c>
      <c r="Y231" s="3">
        <f t="shared" si="102"/>
        <v>36.424999999999997</v>
      </c>
      <c r="Z231" s="2">
        <v>2.5</v>
      </c>
    </row>
    <row r="232" spans="1:26" hidden="1" x14ac:dyDescent="0.25">
      <c r="A232" s="2">
        <v>358</v>
      </c>
      <c r="B232" s="2" t="s">
        <v>530</v>
      </c>
      <c r="C232" s="2" t="s">
        <v>27</v>
      </c>
      <c r="D232" s="2" t="s">
        <v>14</v>
      </c>
      <c r="E232" s="2" t="s">
        <v>51</v>
      </c>
      <c r="F232" s="2" t="s">
        <v>52</v>
      </c>
      <c r="G232" s="2" t="s">
        <v>50</v>
      </c>
      <c r="H232" s="4" t="s">
        <v>54</v>
      </c>
      <c r="I232" s="51">
        <v>0</v>
      </c>
      <c r="J232" s="262">
        <v>0</v>
      </c>
      <c r="K232" s="264">
        <v>0</v>
      </c>
      <c r="L232" s="3">
        <f>203/6</f>
        <v>33.833333333333336</v>
      </c>
      <c r="M232" s="3">
        <f t="shared" si="103"/>
        <v>0</v>
      </c>
      <c r="N232" s="3">
        <f t="shared" si="104"/>
        <v>0</v>
      </c>
      <c r="O232" s="265">
        <f t="shared" si="108"/>
        <v>33.833333333333336</v>
      </c>
      <c r="P232" s="3">
        <v>0</v>
      </c>
      <c r="Q232" s="3">
        <v>0</v>
      </c>
      <c r="R232" s="3">
        <v>0</v>
      </c>
      <c r="S232" s="3">
        <f t="shared" si="98"/>
        <v>33.833333333333336</v>
      </c>
      <c r="T232" s="3">
        <f t="shared" si="99"/>
        <v>3.3833333333333337</v>
      </c>
      <c r="U232" s="3">
        <f t="shared" si="100"/>
        <v>1.6916666666666669</v>
      </c>
      <c r="V232" s="3">
        <f t="shared" si="101"/>
        <v>13.533333333333335</v>
      </c>
      <c r="W232" s="3">
        <f t="shared" si="105"/>
        <v>18.608333333333334</v>
      </c>
      <c r="X232" s="3">
        <f t="shared" si="106"/>
        <v>38.908333333333339</v>
      </c>
      <c r="Y232" s="3">
        <f t="shared" si="102"/>
        <v>52.44166666666667</v>
      </c>
      <c r="Z232" s="2">
        <v>2.5</v>
      </c>
    </row>
    <row r="233" spans="1:26" hidden="1" x14ac:dyDescent="0.25">
      <c r="A233" s="2">
        <v>359</v>
      </c>
      <c r="B233" s="2" t="s">
        <v>314</v>
      </c>
      <c r="C233" s="2" t="s">
        <v>24</v>
      </c>
      <c r="D233" s="2" t="s">
        <v>14</v>
      </c>
      <c r="E233" s="2" t="s">
        <v>51</v>
      </c>
      <c r="F233" s="2" t="s">
        <v>52</v>
      </c>
      <c r="G233" s="2" t="s">
        <v>50</v>
      </c>
      <c r="H233" s="4" t="s">
        <v>54</v>
      </c>
      <c r="I233" s="51">
        <v>0</v>
      </c>
      <c r="J233" s="262">
        <v>0</v>
      </c>
      <c r="K233" s="264">
        <v>0</v>
      </c>
      <c r="L233" s="3">
        <f>95/6</f>
        <v>15.833333333333334</v>
      </c>
      <c r="M233" s="3">
        <f t="shared" si="103"/>
        <v>0</v>
      </c>
      <c r="N233" s="3">
        <f t="shared" si="104"/>
        <v>0</v>
      </c>
      <c r="O233" s="265">
        <f t="shared" si="108"/>
        <v>15.833333333333334</v>
      </c>
      <c r="P233" s="3">
        <v>0</v>
      </c>
      <c r="Q233" s="3">
        <v>0</v>
      </c>
      <c r="R233" s="3">
        <f t="shared" si="109"/>
        <v>31.666666666666668</v>
      </c>
      <c r="S233" s="3">
        <f t="shared" si="98"/>
        <v>47.5</v>
      </c>
      <c r="T233" s="3">
        <f t="shared" si="99"/>
        <v>4.75</v>
      </c>
      <c r="U233" s="3">
        <f t="shared" si="100"/>
        <v>2.375</v>
      </c>
      <c r="V233" s="3">
        <f t="shared" si="101"/>
        <v>19</v>
      </c>
      <c r="W233" s="3">
        <f t="shared" si="105"/>
        <v>26.125</v>
      </c>
      <c r="X233" s="3">
        <f t="shared" si="106"/>
        <v>54.625</v>
      </c>
      <c r="Y233" s="3">
        <f t="shared" si="102"/>
        <v>73.625</v>
      </c>
      <c r="Z233" s="2">
        <v>2</v>
      </c>
    </row>
    <row r="234" spans="1:26" hidden="1" x14ac:dyDescent="0.25">
      <c r="A234" s="2">
        <v>360</v>
      </c>
      <c r="B234" s="2" t="s">
        <v>315</v>
      </c>
      <c r="C234" s="2" t="s">
        <v>25</v>
      </c>
      <c r="D234" s="2" t="s">
        <v>14</v>
      </c>
      <c r="E234" s="2" t="s">
        <v>51</v>
      </c>
      <c r="F234" s="2" t="s">
        <v>52</v>
      </c>
      <c r="G234" s="2" t="s">
        <v>50</v>
      </c>
      <c r="H234" s="4" t="s">
        <v>54</v>
      </c>
      <c r="I234" s="51">
        <v>0</v>
      </c>
      <c r="J234" s="262">
        <v>0</v>
      </c>
      <c r="K234" s="264">
        <v>0</v>
      </c>
      <c r="L234" s="3">
        <f>122/6</f>
        <v>20.333333333333332</v>
      </c>
      <c r="M234" s="3">
        <f t="shared" si="103"/>
        <v>0</v>
      </c>
      <c r="N234" s="3">
        <f t="shared" si="104"/>
        <v>0</v>
      </c>
      <c r="O234" s="265">
        <f t="shared" si="108"/>
        <v>20.333333333333332</v>
      </c>
      <c r="P234" s="3">
        <v>0</v>
      </c>
      <c r="Q234" s="3">
        <v>0</v>
      </c>
      <c r="R234" s="3">
        <f t="shared" si="109"/>
        <v>40.666666666666664</v>
      </c>
      <c r="S234" s="3">
        <f t="shared" si="98"/>
        <v>61</v>
      </c>
      <c r="T234" s="3">
        <f t="shared" si="99"/>
        <v>6.1000000000000005</v>
      </c>
      <c r="U234" s="3">
        <f t="shared" si="100"/>
        <v>3.0500000000000003</v>
      </c>
      <c r="V234" s="3">
        <f t="shared" si="101"/>
        <v>24.400000000000002</v>
      </c>
      <c r="W234" s="3">
        <f t="shared" si="105"/>
        <v>33.550000000000004</v>
      </c>
      <c r="X234" s="3">
        <f t="shared" si="106"/>
        <v>70.149999999999991</v>
      </c>
      <c r="Y234" s="3">
        <f t="shared" si="102"/>
        <v>94.550000000000011</v>
      </c>
      <c r="Z234" s="2">
        <v>2</v>
      </c>
    </row>
    <row r="235" spans="1:26" hidden="1" x14ac:dyDescent="0.25">
      <c r="A235" s="2">
        <v>361</v>
      </c>
      <c r="B235" s="2" t="s">
        <v>316</v>
      </c>
      <c r="C235" s="2" t="s">
        <v>26</v>
      </c>
      <c r="D235" s="2" t="s">
        <v>14</v>
      </c>
      <c r="E235" s="2" t="s">
        <v>51</v>
      </c>
      <c r="F235" s="2" t="s">
        <v>52</v>
      </c>
      <c r="G235" s="2" t="s">
        <v>50</v>
      </c>
      <c r="H235" s="4" t="s">
        <v>54</v>
      </c>
      <c r="I235" s="51">
        <v>0</v>
      </c>
      <c r="J235" s="262">
        <v>0</v>
      </c>
      <c r="K235" s="264">
        <v>0</v>
      </c>
      <c r="L235" s="3">
        <f>141/6</f>
        <v>23.5</v>
      </c>
      <c r="M235" s="3">
        <f t="shared" si="103"/>
        <v>0</v>
      </c>
      <c r="N235" s="3">
        <f t="shared" si="104"/>
        <v>0</v>
      </c>
      <c r="O235" s="265">
        <f t="shared" si="108"/>
        <v>23.5</v>
      </c>
      <c r="P235" s="3">
        <v>0</v>
      </c>
      <c r="Q235" s="3">
        <v>0</v>
      </c>
      <c r="R235" s="3">
        <f t="shared" si="109"/>
        <v>47</v>
      </c>
      <c r="S235" s="3">
        <f t="shared" si="98"/>
        <v>70.5</v>
      </c>
      <c r="T235" s="3">
        <f t="shared" si="99"/>
        <v>7.0500000000000007</v>
      </c>
      <c r="U235" s="3">
        <f t="shared" si="100"/>
        <v>3.5250000000000004</v>
      </c>
      <c r="V235" s="3">
        <f t="shared" si="101"/>
        <v>28.200000000000003</v>
      </c>
      <c r="W235" s="3">
        <f t="shared" si="105"/>
        <v>38.775000000000006</v>
      </c>
      <c r="X235" s="3">
        <f t="shared" si="106"/>
        <v>81.075000000000003</v>
      </c>
      <c r="Y235" s="3">
        <f t="shared" si="102"/>
        <v>109.27500000000001</v>
      </c>
      <c r="Z235" s="2">
        <v>2.5</v>
      </c>
    </row>
    <row r="236" spans="1:26" hidden="1" x14ac:dyDescent="0.25">
      <c r="A236" s="2">
        <v>362</v>
      </c>
      <c r="B236" s="2" t="s">
        <v>317</v>
      </c>
      <c r="C236" s="2" t="s">
        <v>27</v>
      </c>
      <c r="D236" s="2" t="s">
        <v>14</v>
      </c>
      <c r="E236" s="2" t="s">
        <v>51</v>
      </c>
      <c r="F236" s="2" t="s">
        <v>52</v>
      </c>
      <c r="G236" s="2" t="s">
        <v>50</v>
      </c>
      <c r="H236" s="4" t="s">
        <v>54</v>
      </c>
      <c r="I236" s="51">
        <v>0</v>
      </c>
      <c r="J236" s="262">
        <v>0</v>
      </c>
      <c r="K236" s="264">
        <v>0</v>
      </c>
      <c r="L236" s="3">
        <f>203/6</f>
        <v>33.833333333333336</v>
      </c>
      <c r="M236" s="3">
        <f t="shared" si="103"/>
        <v>0</v>
      </c>
      <c r="N236" s="3">
        <f t="shared" si="104"/>
        <v>0</v>
      </c>
      <c r="O236" s="265">
        <f t="shared" si="108"/>
        <v>33.833333333333336</v>
      </c>
      <c r="P236" s="3">
        <v>0</v>
      </c>
      <c r="Q236" s="3">
        <v>0</v>
      </c>
      <c r="R236" s="3">
        <f t="shared" si="109"/>
        <v>67.666666666666671</v>
      </c>
      <c r="S236" s="3">
        <f t="shared" si="98"/>
        <v>101.5</v>
      </c>
      <c r="T236" s="3">
        <f t="shared" si="99"/>
        <v>10.15</v>
      </c>
      <c r="U236" s="3">
        <f t="shared" si="100"/>
        <v>5.0750000000000002</v>
      </c>
      <c r="V236" s="3">
        <f t="shared" si="101"/>
        <v>40.6</v>
      </c>
      <c r="W236" s="3">
        <f t="shared" si="105"/>
        <v>55.825000000000003</v>
      </c>
      <c r="X236" s="3">
        <f t="shared" si="106"/>
        <v>116.72500000000001</v>
      </c>
      <c r="Y236" s="3">
        <f t="shared" si="102"/>
        <v>157.32499999999999</v>
      </c>
      <c r="Z236" s="2">
        <v>2.5</v>
      </c>
    </row>
    <row r="237" spans="1:26" hidden="1" x14ac:dyDescent="0.25">
      <c r="A237" s="2">
        <v>363</v>
      </c>
      <c r="B237" s="2" t="s">
        <v>318</v>
      </c>
      <c r="C237" s="2" t="s">
        <v>28</v>
      </c>
      <c r="D237" s="2" t="s">
        <v>14</v>
      </c>
      <c r="E237" s="2" t="s">
        <v>51</v>
      </c>
      <c r="F237" s="2" t="s">
        <v>52</v>
      </c>
      <c r="G237" s="2" t="s">
        <v>50</v>
      </c>
      <c r="H237" s="4" t="s">
        <v>54</v>
      </c>
      <c r="I237" s="51">
        <v>0</v>
      </c>
      <c r="J237" s="262">
        <v>0</v>
      </c>
      <c r="K237" s="264">
        <v>0</v>
      </c>
      <c r="L237" s="3">
        <f>309/6</f>
        <v>51.5</v>
      </c>
      <c r="M237" s="3">
        <f t="shared" si="103"/>
        <v>0</v>
      </c>
      <c r="N237" s="3">
        <f t="shared" si="104"/>
        <v>0</v>
      </c>
      <c r="O237" s="265">
        <f t="shared" si="108"/>
        <v>51.5</v>
      </c>
      <c r="P237" s="3">
        <v>0</v>
      </c>
      <c r="Q237" s="3">
        <v>0</v>
      </c>
      <c r="R237" s="3">
        <f t="shared" si="109"/>
        <v>103</v>
      </c>
      <c r="S237" s="3">
        <f t="shared" si="98"/>
        <v>154.5</v>
      </c>
      <c r="T237" s="3">
        <f t="shared" si="99"/>
        <v>15.450000000000001</v>
      </c>
      <c r="U237" s="3">
        <f t="shared" si="100"/>
        <v>7.7250000000000005</v>
      </c>
      <c r="V237" s="3">
        <f t="shared" si="101"/>
        <v>61.800000000000004</v>
      </c>
      <c r="W237" s="3">
        <f t="shared" si="105"/>
        <v>84.975000000000009</v>
      </c>
      <c r="X237" s="3">
        <f t="shared" si="106"/>
        <v>177.67499999999998</v>
      </c>
      <c r="Y237" s="3">
        <f t="shared" si="102"/>
        <v>239.47500000000002</v>
      </c>
      <c r="Z237" s="2">
        <v>5</v>
      </c>
    </row>
    <row r="238" spans="1:26" hidden="1" x14ac:dyDescent="0.25">
      <c r="A238" s="2">
        <v>364</v>
      </c>
      <c r="B238" s="2" t="s">
        <v>319</v>
      </c>
      <c r="C238" s="2" t="s">
        <v>29</v>
      </c>
      <c r="D238" s="2" t="s">
        <v>14</v>
      </c>
      <c r="E238" s="2" t="s">
        <v>51</v>
      </c>
      <c r="F238" s="2" t="s">
        <v>52</v>
      </c>
      <c r="G238" s="2" t="s">
        <v>50</v>
      </c>
      <c r="H238" s="4" t="s">
        <v>54</v>
      </c>
      <c r="I238" s="51">
        <v>0</v>
      </c>
      <c r="J238" s="262">
        <v>0</v>
      </c>
      <c r="K238" s="264">
        <v>0</v>
      </c>
      <c r="L238" s="3">
        <f>550/6</f>
        <v>91.666666666666671</v>
      </c>
      <c r="M238" s="3">
        <f t="shared" si="103"/>
        <v>0</v>
      </c>
      <c r="N238" s="3">
        <f t="shared" si="104"/>
        <v>0</v>
      </c>
      <c r="O238" s="265">
        <f t="shared" si="108"/>
        <v>91.666666666666671</v>
      </c>
      <c r="P238" s="3">
        <v>0</v>
      </c>
      <c r="Q238" s="3">
        <v>0</v>
      </c>
      <c r="R238" s="3">
        <f t="shared" si="109"/>
        <v>183.33333333333334</v>
      </c>
      <c r="S238" s="3">
        <f t="shared" si="98"/>
        <v>275</v>
      </c>
      <c r="T238" s="3">
        <f t="shared" si="99"/>
        <v>27.5</v>
      </c>
      <c r="U238" s="3">
        <f t="shared" si="100"/>
        <v>13.75</v>
      </c>
      <c r="V238" s="3">
        <f t="shared" si="101"/>
        <v>110</v>
      </c>
      <c r="W238" s="3">
        <f t="shared" si="105"/>
        <v>151.25</v>
      </c>
      <c r="X238" s="3">
        <f t="shared" si="106"/>
        <v>316.25</v>
      </c>
      <c r="Y238" s="3">
        <f t="shared" si="102"/>
        <v>426.25</v>
      </c>
      <c r="Z238" s="2">
        <v>5</v>
      </c>
    </row>
    <row r="239" spans="1:26" hidden="1" x14ac:dyDescent="0.25">
      <c r="A239" s="2">
        <v>371</v>
      </c>
      <c r="B239" s="2" t="s">
        <v>649</v>
      </c>
      <c r="C239" s="2" t="s">
        <v>27</v>
      </c>
      <c r="D239" s="2" t="s">
        <v>14</v>
      </c>
      <c r="E239" s="2" t="s">
        <v>12</v>
      </c>
      <c r="F239" s="2" t="s">
        <v>286</v>
      </c>
      <c r="G239" s="2" t="s">
        <v>50</v>
      </c>
      <c r="H239" s="4" t="s">
        <v>54</v>
      </c>
      <c r="I239" s="51">
        <v>0</v>
      </c>
      <c r="J239" s="262">
        <v>0</v>
      </c>
      <c r="K239" s="264">
        <v>0</v>
      </c>
      <c r="L239" s="3">
        <v>15000</v>
      </c>
      <c r="M239" s="3">
        <f t="shared" si="103"/>
        <v>0</v>
      </c>
      <c r="N239" s="3">
        <f t="shared" si="104"/>
        <v>0</v>
      </c>
      <c r="O239" s="265">
        <f t="shared" si="108"/>
        <v>15000</v>
      </c>
      <c r="P239" s="3">
        <v>0</v>
      </c>
      <c r="Q239" s="3"/>
      <c r="R239" s="3">
        <v>0</v>
      </c>
      <c r="S239" s="3">
        <f t="shared" si="98"/>
        <v>15000</v>
      </c>
      <c r="T239" s="3">
        <f t="shared" si="99"/>
        <v>1500</v>
      </c>
      <c r="U239" s="3">
        <f t="shared" si="100"/>
        <v>750</v>
      </c>
      <c r="V239" s="3">
        <f t="shared" si="101"/>
        <v>6000</v>
      </c>
      <c r="W239" s="3">
        <f t="shared" si="105"/>
        <v>8250</v>
      </c>
      <c r="X239" s="3">
        <f t="shared" si="106"/>
        <v>17250</v>
      </c>
      <c r="Y239" s="3">
        <f t="shared" si="102"/>
        <v>23250</v>
      </c>
      <c r="Z239" s="2">
        <v>3</v>
      </c>
    </row>
    <row r="240" spans="1:26" ht="16.5" hidden="1" customHeight="1" x14ac:dyDescent="0.25">
      <c r="A240" s="2">
        <v>372</v>
      </c>
      <c r="B240" s="8" t="s">
        <v>672</v>
      </c>
      <c r="C240" s="2" t="s">
        <v>14</v>
      </c>
      <c r="D240" s="2" t="s">
        <v>14</v>
      </c>
      <c r="E240" s="8" t="s">
        <v>811</v>
      </c>
      <c r="F240" s="2" t="s">
        <v>287</v>
      </c>
      <c r="G240" s="2" t="s">
        <v>50</v>
      </c>
      <c r="H240" s="4"/>
      <c r="I240" s="51">
        <v>0</v>
      </c>
      <c r="J240" s="262">
        <v>0</v>
      </c>
      <c r="K240" s="264">
        <v>0</v>
      </c>
      <c r="L240" s="3">
        <f>2000+750</f>
        <v>2750</v>
      </c>
      <c r="M240" s="3">
        <f t="shared" si="103"/>
        <v>0</v>
      </c>
      <c r="N240" s="3">
        <f t="shared" si="104"/>
        <v>0</v>
      </c>
      <c r="O240" s="265">
        <f t="shared" si="108"/>
        <v>2750</v>
      </c>
      <c r="P240" s="3">
        <v>0</v>
      </c>
      <c r="Q240" s="3">
        <v>0</v>
      </c>
      <c r="R240" s="3">
        <v>0</v>
      </c>
      <c r="S240" s="3">
        <f t="shared" si="98"/>
        <v>2750</v>
      </c>
      <c r="T240" s="3">
        <f t="shared" si="99"/>
        <v>275</v>
      </c>
      <c r="U240" s="3">
        <f t="shared" si="100"/>
        <v>137.5</v>
      </c>
      <c r="V240" s="3">
        <f t="shared" si="101"/>
        <v>1100</v>
      </c>
      <c r="W240" s="3">
        <f t="shared" si="105"/>
        <v>1512.5</v>
      </c>
      <c r="X240" s="3">
        <f t="shared" si="106"/>
        <v>3162.5</v>
      </c>
      <c r="Y240" s="3">
        <f t="shared" si="102"/>
        <v>4262.5</v>
      </c>
      <c r="Z240" s="2">
        <v>2</v>
      </c>
    </row>
    <row r="241" spans="1:26" hidden="1" x14ac:dyDescent="0.25">
      <c r="A241" s="2">
        <v>373</v>
      </c>
      <c r="B241" s="2" t="s">
        <v>622</v>
      </c>
      <c r="C241" s="2" t="s">
        <v>27</v>
      </c>
      <c r="D241" s="2" t="s">
        <v>14</v>
      </c>
      <c r="E241" s="2" t="s">
        <v>288</v>
      </c>
      <c r="F241" s="2" t="s">
        <v>289</v>
      </c>
      <c r="G241" s="2" t="s">
        <v>823</v>
      </c>
      <c r="H241" s="4" t="s">
        <v>54</v>
      </c>
      <c r="I241" s="51">
        <v>1322</v>
      </c>
      <c r="J241" s="262">
        <v>0</v>
      </c>
      <c r="K241" s="264">
        <v>0</v>
      </c>
      <c r="L241" s="3">
        <v>0</v>
      </c>
      <c r="M241" s="3">
        <f t="shared" si="103"/>
        <v>747.59099999999989</v>
      </c>
      <c r="N241" s="3">
        <f t="shared" si="104"/>
        <v>996.78800000000001</v>
      </c>
      <c r="O241" s="265">
        <f t="shared" si="108"/>
        <v>6728.3189999999995</v>
      </c>
      <c r="P241" s="3">
        <v>0</v>
      </c>
      <c r="Q241" s="3">
        <v>30</v>
      </c>
      <c r="R241" s="3">
        <v>0</v>
      </c>
      <c r="S241" s="3">
        <f t="shared" si="98"/>
        <v>6758.3189999999995</v>
      </c>
      <c r="T241" s="3">
        <f t="shared" si="99"/>
        <v>675.83190000000002</v>
      </c>
      <c r="U241" s="3">
        <f t="shared" si="100"/>
        <v>337.91595000000001</v>
      </c>
      <c r="V241" s="3">
        <f t="shared" si="101"/>
        <v>2703.3276000000001</v>
      </c>
      <c r="W241" s="3">
        <f t="shared" si="105"/>
        <v>3717.0754500000003</v>
      </c>
      <c r="X241" s="3">
        <f t="shared" si="106"/>
        <v>7772.0668499999992</v>
      </c>
      <c r="Y241" s="3">
        <f t="shared" si="102"/>
        <v>10475.39445</v>
      </c>
      <c r="Z241" s="2">
        <v>3</v>
      </c>
    </row>
    <row r="242" spans="1:26" hidden="1" x14ac:dyDescent="0.25">
      <c r="A242" s="2">
        <v>376</v>
      </c>
      <c r="B242" s="2" t="s">
        <v>326</v>
      </c>
      <c r="C242" s="2" t="s">
        <v>14</v>
      </c>
      <c r="D242" s="2" t="s">
        <v>14</v>
      </c>
      <c r="E242" s="2" t="s">
        <v>39</v>
      </c>
      <c r="F242" s="2" t="s">
        <v>39</v>
      </c>
      <c r="G242" s="2" t="s">
        <v>50</v>
      </c>
      <c r="H242" s="4" t="s">
        <v>54</v>
      </c>
      <c r="I242" s="51">
        <v>0</v>
      </c>
      <c r="J242" s="262">
        <v>0</v>
      </c>
      <c r="K242" s="264">
        <v>0</v>
      </c>
      <c r="L242" s="3">
        <v>8000</v>
      </c>
      <c r="M242" s="3">
        <f t="shared" si="103"/>
        <v>0</v>
      </c>
      <c r="N242" s="3">
        <f t="shared" si="104"/>
        <v>0</v>
      </c>
      <c r="O242" s="265">
        <f t="shared" ref="O242:O245" si="110">N242+M242+L242+1.1*K242+J242*4.3+I242*3.77</f>
        <v>8000</v>
      </c>
      <c r="P242" s="3">
        <v>0</v>
      </c>
      <c r="Q242" s="3">
        <v>0</v>
      </c>
      <c r="R242" s="3">
        <v>0</v>
      </c>
      <c r="S242" s="3">
        <f t="shared" si="98"/>
        <v>8000</v>
      </c>
      <c r="T242" s="3">
        <f t="shared" si="99"/>
        <v>800</v>
      </c>
      <c r="U242" s="3">
        <f t="shared" si="100"/>
        <v>400</v>
      </c>
      <c r="V242" s="3">
        <f t="shared" si="101"/>
        <v>3200</v>
      </c>
      <c r="W242" s="3">
        <f t="shared" ref="W242:W284" si="111">SUM(T242:V242)</f>
        <v>4400</v>
      </c>
      <c r="X242" s="3">
        <f t="shared" ref="X242:X284" si="112">SUM(S242:U242)</f>
        <v>9200</v>
      </c>
      <c r="Y242" s="3">
        <f t="shared" si="102"/>
        <v>12400</v>
      </c>
      <c r="Z242" s="2">
        <v>8</v>
      </c>
    </row>
    <row r="243" spans="1:26" hidden="1" x14ac:dyDescent="0.25">
      <c r="A243" s="2">
        <v>377</v>
      </c>
      <c r="B243" s="2" t="s">
        <v>327</v>
      </c>
      <c r="C243" s="2" t="s">
        <v>14</v>
      </c>
      <c r="D243" s="2" t="s">
        <v>14</v>
      </c>
      <c r="E243" s="2" t="s">
        <v>39</v>
      </c>
      <c r="F243" s="2" t="s">
        <v>39</v>
      </c>
      <c r="G243" s="2" t="s">
        <v>50</v>
      </c>
      <c r="H243" s="4" t="s">
        <v>54</v>
      </c>
      <c r="I243" s="51">
        <v>0</v>
      </c>
      <c r="J243" s="262">
        <v>0</v>
      </c>
      <c r="K243" s="264">
        <v>0</v>
      </c>
      <c r="L243" s="3">
        <v>10000</v>
      </c>
      <c r="M243" s="3">
        <f t="shared" si="103"/>
        <v>0</v>
      </c>
      <c r="N243" s="3">
        <f t="shared" si="104"/>
        <v>0</v>
      </c>
      <c r="O243" s="265">
        <f t="shared" si="110"/>
        <v>10000</v>
      </c>
      <c r="P243" s="3">
        <v>0</v>
      </c>
      <c r="Q243" s="3">
        <v>0</v>
      </c>
      <c r="R243" s="3">
        <v>0</v>
      </c>
      <c r="S243" s="3">
        <f t="shared" si="98"/>
        <v>10000</v>
      </c>
      <c r="T243" s="3">
        <f t="shared" si="99"/>
        <v>1000</v>
      </c>
      <c r="U243" s="3">
        <f t="shared" si="100"/>
        <v>500</v>
      </c>
      <c r="V243" s="3">
        <f t="shared" si="101"/>
        <v>4000</v>
      </c>
      <c r="W243" s="3">
        <f t="shared" si="111"/>
        <v>5500</v>
      </c>
      <c r="X243" s="3">
        <f t="shared" si="112"/>
        <v>11500</v>
      </c>
      <c r="Y243" s="3">
        <f t="shared" si="102"/>
        <v>15500</v>
      </c>
      <c r="Z243" s="2">
        <v>10</v>
      </c>
    </row>
    <row r="244" spans="1:26" hidden="1" x14ac:dyDescent="0.25">
      <c r="A244" s="2">
        <v>378</v>
      </c>
      <c r="B244" s="2" t="s">
        <v>328</v>
      </c>
      <c r="C244" s="2" t="s">
        <v>14</v>
      </c>
      <c r="D244" s="2" t="s">
        <v>14</v>
      </c>
      <c r="E244" s="2" t="s">
        <v>39</v>
      </c>
      <c r="F244" s="2" t="s">
        <v>39</v>
      </c>
      <c r="G244" s="2" t="s">
        <v>50</v>
      </c>
      <c r="H244" s="4" t="s">
        <v>54</v>
      </c>
      <c r="I244" s="51">
        <v>0</v>
      </c>
      <c r="J244" s="262">
        <v>0</v>
      </c>
      <c r="K244" s="264">
        <v>0</v>
      </c>
      <c r="L244" s="3">
        <v>14000</v>
      </c>
      <c r="M244" s="3">
        <f t="shared" si="103"/>
        <v>0</v>
      </c>
      <c r="N244" s="3">
        <f t="shared" si="104"/>
        <v>0</v>
      </c>
      <c r="O244" s="265">
        <f t="shared" si="110"/>
        <v>14000</v>
      </c>
      <c r="P244" s="3">
        <v>0</v>
      </c>
      <c r="Q244" s="3">
        <v>0</v>
      </c>
      <c r="R244" s="3">
        <v>0</v>
      </c>
      <c r="S244" s="3">
        <f t="shared" si="98"/>
        <v>14000</v>
      </c>
      <c r="T244" s="3">
        <f t="shared" si="99"/>
        <v>1400</v>
      </c>
      <c r="U244" s="3">
        <f t="shared" si="100"/>
        <v>700</v>
      </c>
      <c r="V244" s="3">
        <f t="shared" si="101"/>
        <v>5600</v>
      </c>
      <c r="W244" s="3">
        <f t="shared" si="111"/>
        <v>7700</v>
      </c>
      <c r="X244" s="3">
        <f t="shared" si="112"/>
        <v>16100</v>
      </c>
      <c r="Y244" s="3">
        <f t="shared" si="102"/>
        <v>21700</v>
      </c>
      <c r="Z244" s="2">
        <v>14</v>
      </c>
    </row>
    <row r="245" spans="1:26" hidden="1" x14ac:dyDescent="0.25">
      <c r="A245" s="2">
        <v>379</v>
      </c>
      <c r="B245" s="2" t="s">
        <v>329</v>
      </c>
      <c r="C245" s="2" t="s">
        <v>14</v>
      </c>
      <c r="D245" s="2" t="s">
        <v>14</v>
      </c>
      <c r="E245" s="2" t="s">
        <v>39</v>
      </c>
      <c r="F245" s="2" t="s">
        <v>39</v>
      </c>
      <c r="G245" s="2" t="s">
        <v>50</v>
      </c>
      <c r="H245" s="4" t="s">
        <v>54</v>
      </c>
      <c r="I245" s="51">
        <v>0</v>
      </c>
      <c r="J245" s="262">
        <v>0</v>
      </c>
      <c r="K245" s="264">
        <v>0</v>
      </c>
      <c r="L245" s="3">
        <v>20000</v>
      </c>
      <c r="M245" s="3">
        <f t="shared" si="103"/>
        <v>0</v>
      </c>
      <c r="N245" s="3">
        <f t="shared" si="104"/>
        <v>0</v>
      </c>
      <c r="O245" s="265">
        <f t="shared" si="110"/>
        <v>20000</v>
      </c>
      <c r="P245" s="3">
        <v>0</v>
      </c>
      <c r="Q245" s="3">
        <v>0</v>
      </c>
      <c r="R245" s="3">
        <v>0</v>
      </c>
      <c r="S245" s="3">
        <f t="shared" si="98"/>
        <v>20000</v>
      </c>
      <c r="T245" s="3">
        <f t="shared" si="99"/>
        <v>2000</v>
      </c>
      <c r="U245" s="3">
        <f t="shared" si="100"/>
        <v>1000</v>
      </c>
      <c r="V245" s="3">
        <f t="shared" si="101"/>
        <v>8000</v>
      </c>
      <c r="W245" s="3">
        <f t="shared" si="111"/>
        <v>11000</v>
      </c>
      <c r="X245" s="3">
        <f t="shared" si="112"/>
        <v>23000</v>
      </c>
      <c r="Y245" s="3">
        <f t="shared" si="102"/>
        <v>31000</v>
      </c>
      <c r="Z245" s="2">
        <v>20</v>
      </c>
    </row>
    <row r="246" spans="1:26" hidden="1" x14ac:dyDescent="0.25">
      <c r="A246" s="2">
        <v>385</v>
      </c>
      <c r="B246" s="2" t="s">
        <v>394</v>
      </c>
      <c r="C246" s="2" t="s">
        <v>14</v>
      </c>
      <c r="D246" s="2" t="s">
        <v>14</v>
      </c>
      <c r="E246" s="2" t="s">
        <v>395</v>
      </c>
      <c r="F246" s="2" t="s">
        <v>395</v>
      </c>
      <c r="G246" s="2" t="s">
        <v>50</v>
      </c>
      <c r="H246" s="4" t="s">
        <v>54</v>
      </c>
      <c r="I246" s="51">
        <v>0</v>
      </c>
      <c r="J246" s="262">
        <v>0</v>
      </c>
      <c r="K246" s="264">
        <v>0</v>
      </c>
      <c r="L246" s="3">
        <v>11000</v>
      </c>
      <c r="M246" s="3">
        <f t="shared" ref="M246:M297" si="113">0.15*(I246*3.77+J246*4.3+K246*1.1)</f>
        <v>0</v>
      </c>
      <c r="N246" s="3">
        <f t="shared" ref="N246:N297" si="114">0.2*(I246*3.77+J246*4.3+K246*1.1)</f>
        <v>0</v>
      </c>
      <c r="O246" s="265">
        <f t="shared" ref="O246:O252" si="115">N246+M246+L246+1.1*K246+J246*4.3+I246*3.77</f>
        <v>11000</v>
      </c>
      <c r="P246" s="3">
        <v>0</v>
      </c>
      <c r="Q246" s="3">
        <v>0</v>
      </c>
      <c r="R246" s="3">
        <v>0</v>
      </c>
      <c r="S246" s="3">
        <f t="shared" ref="S246:S294" si="116">SUM(O246:R246)</f>
        <v>11000</v>
      </c>
      <c r="T246" s="3">
        <f t="shared" ref="T246:T294" si="117">0.1*S246</f>
        <v>1100</v>
      </c>
      <c r="U246" s="3">
        <f t="shared" ref="U246:U294" si="118">0.05*S246</f>
        <v>550</v>
      </c>
      <c r="V246" s="3">
        <f t="shared" ref="V246:V294" si="119">0.4*S246</f>
        <v>4400</v>
      </c>
      <c r="W246" s="3">
        <f t="shared" si="111"/>
        <v>6050</v>
      </c>
      <c r="X246" s="3">
        <f t="shared" si="112"/>
        <v>12650</v>
      </c>
      <c r="Y246" s="3">
        <f t="shared" ref="Y246:Y296" si="120">(W246+S246)*(1-$AB$1)</f>
        <v>17050</v>
      </c>
      <c r="Z246" s="2">
        <v>20</v>
      </c>
    </row>
    <row r="247" spans="1:26" hidden="1" x14ac:dyDescent="0.25">
      <c r="A247" s="2">
        <v>386</v>
      </c>
      <c r="B247" s="2" t="s">
        <v>396</v>
      </c>
      <c r="C247" s="2" t="s">
        <v>14</v>
      </c>
      <c r="D247" s="2" t="s">
        <v>14</v>
      </c>
      <c r="E247" s="2" t="s">
        <v>395</v>
      </c>
      <c r="F247" s="2" t="s">
        <v>395</v>
      </c>
      <c r="G247" s="2" t="s">
        <v>50</v>
      </c>
      <c r="H247" s="4" t="s">
        <v>54</v>
      </c>
      <c r="I247" s="51">
        <v>0</v>
      </c>
      <c r="J247" s="262">
        <v>0</v>
      </c>
      <c r="K247" s="264">
        <v>0</v>
      </c>
      <c r="L247" s="3">
        <v>11000</v>
      </c>
      <c r="M247" s="3">
        <f t="shared" si="113"/>
        <v>0</v>
      </c>
      <c r="N247" s="3">
        <f t="shared" si="114"/>
        <v>0</v>
      </c>
      <c r="O247" s="265">
        <f t="shared" si="115"/>
        <v>11000</v>
      </c>
      <c r="P247" s="3">
        <v>0</v>
      </c>
      <c r="Q247" s="3">
        <v>0</v>
      </c>
      <c r="R247" s="3">
        <v>0</v>
      </c>
      <c r="S247" s="3">
        <f t="shared" si="116"/>
        <v>11000</v>
      </c>
      <c r="T247" s="3">
        <f t="shared" si="117"/>
        <v>1100</v>
      </c>
      <c r="U247" s="3">
        <f t="shared" si="118"/>
        <v>550</v>
      </c>
      <c r="V247" s="3">
        <f t="shared" si="119"/>
        <v>4400</v>
      </c>
      <c r="W247" s="3">
        <f t="shared" si="111"/>
        <v>6050</v>
      </c>
      <c r="X247" s="3">
        <f t="shared" si="112"/>
        <v>12650</v>
      </c>
      <c r="Y247" s="3">
        <f t="shared" si="120"/>
        <v>17050</v>
      </c>
      <c r="Z247" s="2">
        <v>20</v>
      </c>
    </row>
    <row r="248" spans="1:26" hidden="1" x14ac:dyDescent="0.25">
      <c r="A248" s="2">
        <v>387</v>
      </c>
      <c r="B248" s="2" t="s">
        <v>397</v>
      </c>
      <c r="C248" s="2" t="s">
        <v>14</v>
      </c>
      <c r="D248" s="2" t="s">
        <v>14</v>
      </c>
      <c r="E248" s="2" t="s">
        <v>395</v>
      </c>
      <c r="F248" s="2" t="s">
        <v>395</v>
      </c>
      <c r="G248" s="2" t="s">
        <v>50</v>
      </c>
      <c r="H248" s="4" t="s">
        <v>54</v>
      </c>
      <c r="I248" s="51">
        <v>0</v>
      </c>
      <c r="J248" s="262">
        <v>0</v>
      </c>
      <c r="K248" s="264">
        <v>0</v>
      </c>
      <c r="L248" s="3">
        <v>11000</v>
      </c>
      <c r="M248" s="3">
        <f t="shared" si="113"/>
        <v>0</v>
      </c>
      <c r="N248" s="3">
        <f t="shared" si="114"/>
        <v>0</v>
      </c>
      <c r="O248" s="265">
        <f t="shared" si="115"/>
        <v>11000</v>
      </c>
      <c r="P248" s="3">
        <v>0</v>
      </c>
      <c r="Q248" s="3">
        <v>0</v>
      </c>
      <c r="R248" s="3">
        <v>0</v>
      </c>
      <c r="S248" s="3">
        <f t="shared" si="116"/>
        <v>11000</v>
      </c>
      <c r="T248" s="3">
        <f t="shared" si="117"/>
        <v>1100</v>
      </c>
      <c r="U248" s="3">
        <f t="shared" si="118"/>
        <v>550</v>
      </c>
      <c r="V248" s="3">
        <f t="shared" si="119"/>
        <v>4400</v>
      </c>
      <c r="W248" s="3">
        <f t="shared" si="111"/>
        <v>6050</v>
      </c>
      <c r="X248" s="3">
        <f t="shared" si="112"/>
        <v>12650</v>
      </c>
      <c r="Y248" s="3">
        <f t="shared" si="120"/>
        <v>17050</v>
      </c>
      <c r="Z248" s="2">
        <v>20</v>
      </c>
    </row>
    <row r="249" spans="1:26" hidden="1" x14ac:dyDescent="0.25">
      <c r="A249" s="2">
        <v>388</v>
      </c>
      <c r="B249" s="2" t="s">
        <v>398</v>
      </c>
      <c r="C249" s="2" t="s">
        <v>14</v>
      </c>
      <c r="D249" s="2" t="s">
        <v>14</v>
      </c>
      <c r="E249" s="2" t="s">
        <v>395</v>
      </c>
      <c r="F249" s="2" t="s">
        <v>395</v>
      </c>
      <c r="G249" s="2" t="s">
        <v>50</v>
      </c>
      <c r="H249" s="4" t="s">
        <v>54</v>
      </c>
      <c r="I249" s="51">
        <v>0</v>
      </c>
      <c r="J249" s="262">
        <v>0</v>
      </c>
      <c r="K249" s="264">
        <v>0</v>
      </c>
      <c r="L249" s="3">
        <v>15000</v>
      </c>
      <c r="M249" s="3">
        <f t="shared" si="113"/>
        <v>0</v>
      </c>
      <c r="N249" s="3">
        <f t="shared" si="114"/>
        <v>0</v>
      </c>
      <c r="O249" s="265">
        <f t="shared" si="115"/>
        <v>15000</v>
      </c>
      <c r="P249" s="3">
        <v>0</v>
      </c>
      <c r="Q249" s="3">
        <v>0</v>
      </c>
      <c r="R249" s="3">
        <v>0</v>
      </c>
      <c r="S249" s="3">
        <f t="shared" si="116"/>
        <v>15000</v>
      </c>
      <c r="T249" s="3">
        <f t="shared" si="117"/>
        <v>1500</v>
      </c>
      <c r="U249" s="3">
        <f t="shared" si="118"/>
        <v>750</v>
      </c>
      <c r="V249" s="3">
        <f t="shared" si="119"/>
        <v>6000</v>
      </c>
      <c r="W249" s="3">
        <f t="shared" si="111"/>
        <v>8250</v>
      </c>
      <c r="X249" s="3">
        <f t="shared" si="112"/>
        <v>17250</v>
      </c>
      <c r="Y249" s="3">
        <f t="shared" si="120"/>
        <v>23250</v>
      </c>
      <c r="Z249" s="2">
        <v>20</v>
      </c>
    </row>
    <row r="250" spans="1:26" hidden="1" x14ac:dyDescent="0.25">
      <c r="A250" s="2">
        <v>389</v>
      </c>
      <c r="B250" s="2" t="s">
        <v>399</v>
      </c>
      <c r="C250" s="2" t="s">
        <v>14</v>
      </c>
      <c r="D250" s="2" t="s">
        <v>14</v>
      </c>
      <c r="E250" s="2" t="s">
        <v>395</v>
      </c>
      <c r="F250" s="2" t="s">
        <v>395</v>
      </c>
      <c r="G250" s="2" t="s">
        <v>50</v>
      </c>
      <c r="H250" s="4" t="s">
        <v>54</v>
      </c>
      <c r="I250" s="51">
        <v>0</v>
      </c>
      <c r="J250" s="262">
        <v>0</v>
      </c>
      <c r="K250" s="264">
        <v>0</v>
      </c>
      <c r="L250" s="3">
        <v>18000</v>
      </c>
      <c r="M250" s="3">
        <f t="shared" si="113"/>
        <v>0</v>
      </c>
      <c r="N250" s="3">
        <f t="shared" si="114"/>
        <v>0</v>
      </c>
      <c r="O250" s="265">
        <f t="shared" si="115"/>
        <v>18000</v>
      </c>
      <c r="P250" s="3">
        <v>0</v>
      </c>
      <c r="Q250" s="3">
        <v>0</v>
      </c>
      <c r="R250" s="3">
        <v>0</v>
      </c>
      <c r="S250" s="3">
        <f t="shared" si="116"/>
        <v>18000</v>
      </c>
      <c r="T250" s="3">
        <f t="shared" si="117"/>
        <v>1800</v>
      </c>
      <c r="U250" s="3">
        <f t="shared" si="118"/>
        <v>900</v>
      </c>
      <c r="V250" s="3">
        <f t="shared" si="119"/>
        <v>7200</v>
      </c>
      <c r="W250" s="3">
        <f t="shared" si="111"/>
        <v>9900</v>
      </c>
      <c r="X250" s="3">
        <f t="shared" si="112"/>
        <v>20700</v>
      </c>
      <c r="Y250" s="3">
        <f t="shared" si="120"/>
        <v>27900</v>
      </c>
      <c r="Z250" s="2">
        <v>20</v>
      </c>
    </row>
    <row r="251" spans="1:26" hidden="1" x14ac:dyDescent="0.25">
      <c r="A251" s="2">
        <v>390</v>
      </c>
      <c r="B251" s="2" t="s">
        <v>400</v>
      </c>
      <c r="C251" s="2" t="s">
        <v>14</v>
      </c>
      <c r="D251" s="2" t="s">
        <v>14</v>
      </c>
      <c r="E251" s="2" t="s">
        <v>395</v>
      </c>
      <c r="F251" s="2" t="s">
        <v>395</v>
      </c>
      <c r="G251" s="2" t="s">
        <v>50</v>
      </c>
      <c r="H251" s="4" t="s">
        <v>54</v>
      </c>
      <c r="I251" s="51">
        <v>0</v>
      </c>
      <c r="J251" s="262">
        <v>0</v>
      </c>
      <c r="K251" s="264">
        <v>0</v>
      </c>
      <c r="L251" s="3">
        <v>22000</v>
      </c>
      <c r="M251" s="3">
        <f t="shared" si="113"/>
        <v>0</v>
      </c>
      <c r="N251" s="3">
        <f t="shared" si="114"/>
        <v>0</v>
      </c>
      <c r="O251" s="265">
        <f t="shared" si="115"/>
        <v>22000</v>
      </c>
      <c r="P251" s="3">
        <v>0</v>
      </c>
      <c r="Q251" s="3">
        <v>0</v>
      </c>
      <c r="R251" s="3">
        <v>0</v>
      </c>
      <c r="S251" s="3">
        <f t="shared" si="116"/>
        <v>22000</v>
      </c>
      <c r="T251" s="3">
        <f t="shared" si="117"/>
        <v>2200</v>
      </c>
      <c r="U251" s="3">
        <f t="shared" si="118"/>
        <v>1100</v>
      </c>
      <c r="V251" s="3">
        <f t="shared" si="119"/>
        <v>8800</v>
      </c>
      <c r="W251" s="3">
        <f t="shared" si="111"/>
        <v>12100</v>
      </c>
      <c r="X251" s="3">
        <f t="shared" si="112"/>
        <v>25300</v>
      </c>
      <c r="Y251" s="3">
        <f t="shared" si="120"/>
        <v>34100</v>
      </c>
      <c r="Z251" s="2">
        <v>20</v>
      </c>
    </row>
    <row r="252" spans="1:26" hidden="1" x14ac:dyDescent="0.25">
      <c r="A252" s="2">
        <v>391</v>
      </c>
      <c r="B252" s="2" t="s">
        <v>654</v>
      </c>
      <c r="C252" s="2" t="s">
        <v>14</v>
      </c>
      <c r="D252" s="2" t="s">
        <v>14</v>
      </c>
      <c r="E252" s="2" t="s">
        <v>48</v>
      </c>
      <c r="F252" s="2" t="s">
        <v>48</v>
      </c>
      <c r="G252" s="2" t="s">
        <v>824</v>
      </c>
      <c r="H252" s="4" t="s">
        <v>54</v>
      </c>
      <c r="I252" s="51">
        <v>0</v>
      </c>
      <c r="J252" s="262">
        <f>(530+296+189+525)*0.65</f>
        <v>1001</v>
      </c>
      <c r="K252" s="264">
        <v>0</v>
      </c>
      <c r="L252" s="5">
        <v>0</v>
      </c>
      <c r="M252" s="3">
        <f t="shared" si="113"/>
        <v>645.64499999999998</v>
      </c>
      <c r="N252" s="3">
        <f t="shared" si="114"/>
        <v>860.86000000000013</v>
      </c>
      <c r="O252" s="265">
        <f t="shared" si="115"/>
        <v>5810.8050000000003</v>
      </c>
      <c r="P252" s="3">
        <v>0</v>
      </c>
      <c r="Q252" s="3">
        <v>0</v>
      </c>
      <c r="R252" s="3">
        <v>0</v>
      </c>
      <c r="S252" s="3">
        <f t="shared" si="116"/>
        <v>5810.8050000000003</v>
      </c>
      <c r="T252" s="3">
        <f t="shared" si="117"/>
        <v>581.08050000000003</v>
      </c>
      <c r="U252" s="3">
        <f t="shared" si="118"/>
        <v>290.54025000000001</v>
      </c>
      <c r="V252" s="3">
        <f t="shared" si="119"/>
        <v>2324.3220000000001</v>
      </c>
      <c r="W252" s="3">
        <f t="shared" si="111"/>
        <v>3195.9427500000002</v>
      </c>
      <c r="X252" s="3">
        <f t="shared" si="112"/>
        <v>6682.4257500000003</v>
      </c>
      <c r="Y252" s="3">
        <f t="shared" si="120"/>
        <v>9006.7477500000005</v>
      </c>
      <c r="Z252" s="2">
        <v>3</v>
      </c>
    </row>
    <row r="253" spans="1:26" hidden="1" x14ac:dyDescent="0.25">
      <c r="A253" s="2">
        <v>392</v>
      </c>
      <c r="B253" s="2" t="s">
        <v>668</v>
      </c>
      <c r="C253" s="2" t="s">
        <v>14</v>
      </c>
      <c r="D253" s="2" t="s">
        <v>14</v>
      </c>
      <c r="E253" s="2" t="s">
        <v>40</v>
      </c>
      <c r="F253" s="2" t="s">
        <v>12</v>
      </c>
      <c r="G253" s="2" t="s">
        <v>50</v>
      </c>
      <c r="H253" s="4"/>
      <c r="I253" s="51">
        <v>0</v>
      </c>
      <c r="J253" s="262">
        <v>0</v>
      </c>
      <c r="K253" s="264">
        <v>0</v>
      </c>
      <c r="L253" s="3">
        <v>300</v>
      </c>
      <c r="M253" s="3">
        <f t="shared" si="113"/>
        <v>0</v>
      </c>
      <c r="N253" s="3">
        <f t="shared" si="114"/>
        <v>0</v>
      </c>
      <c r="O253" s="265">
        <f>N253+M253+L253+1.1*K253+J253*4.3+I253*3.77</f>
        <v>300</v>
      </c>
      <c r="P253" s="3"/>
      <c r="Q253" s="3"/>
      <c r="R253" s="3"/>
      <c r="S253" s="3">
        <f t="shared" si="116"/>
        <v>300</v>
      </c>
      <c r="T253" s="3">
        <f t="shared" si="117"/>
        <v>30</v>
      </c>
      <c r="U253" s="3">
        <f t="shared" si="118"/>
        <v>15</v>
      </c>
      <c r="V253" s="3">
        <f t="shared" si="119"/>
        <v>120</v>
      </c>
      <c r="W253" s="3">
        <f t="shared" si="111"/>
        <v>165</v>
      </c>
      <c r="X253" s="3">
        <f t="shared" si="112"/>
        <v>345</v>
      </c>
      <c r="Y253" s="3">
        <f t="shared" si="120"/>
        <v>465</v>
      </c>
      <c r="Z253" s="2">
        <v>2</v>
      </c>
    </row>
    <row r="254" spans="1:26" hidden="1" x14ac:dyDescent="0.25">
      <c r="A254" s="2">
        <v>393</v>
      </c>
      <c r="B254" s="2" t="s">
        <v>659</v>
      </c>
      <c r="C254" s="2" t="s">
        <v>14</v>
      </c>
      <c r="D254" s="2" t="s">
        <v>14</v>
      </c>
      <c r="E254" s="2" t="s">
        <v>433</v>
      </c>
      <c r="F254" s="2" t="s">
        <v>41</v>
      </c>
      <c r="G254" s="2" t="s">
        <v>825</v>
      </c>
      <c r="H254" s="4"/>
      <c r="I254" s="51">
        <v>0</v>
      </c>
      <c r="J254" s="262">
        <v>0</v>
      </c>
      <c r="K254" s="264">
        <v>785</v>
      </c>
      <c r="L254" s="3">
        <v>0</v>
      </c>
      <c r="M254" s="3">
        <f t="shared" si="113"/>
        <v>129.52500000000001</v>
      </c>
      <c r="N254" s="3">
        <f t="shared" si="114"/>
        <v>172.70000000000005</v>
      </c>
      <c r="O254" s="3">
        <f>K254*1.1+N254+M254</f>
        <v>1165.7250000000004</v>
      </c>
      <c r="P254" s="3">
        <v>0</v>
      </c>
      <c r="Q254" s="3">
        <v>0</v>
      </c>
      <c r="R254" s="3">
        <v>0</v>
      </c>
      <c r="S254" s="3">
        <f t="shared" si="116"/>
        <v>1165.7250000000004</v>
      </c>
      <c r="T254" s="3">
        <f t="shared" si="117"/>
        <v>116.57250000000005</v>
      </c>
      <c r="U254" s="3">
        <f t="shared" si="118"/>
        <v>58.286250000000024</v>
      </c>
      <c r="V254" s="3">
        <f t="shared" si="119"/>
        <v>466.29000000000019</v>
      </c>
      <c r="W254" s="3">
        <f t="shared" si="111"/>
        <v>641.14875000000029</v>
      </c>
      <c r="X254" s="3">
        <f t="shared" si="112"/>
        <v>1340.5837500000005</v>
      </c>
      <c r="Y254" s="3">
        <f t="shared" si="120"/>
        <v>1806.8737500000007</v>
      </c>
      <c r="Z254" s="2">
        <v>3</v>
      </c>
    </row>
    <row r="255" spans="1:26" hidden="1" x14ac:dyDescent="0.25">
      <c r="A255" s="2">
        <v>395</v>
      </c>
      <c r="B255" s="2" t="s">
        <v>657</v>
      </c>
      <c r="C255" s="2" t="s">
        <v>14</v>
      </c>
      <c r="D255" s="2" t="s">
        <v>14</v>
      </c>
      <c r="E255" s="2" t="s">
        <v>809</v>
      </c>
      <c r="F255" s="2" t="s">
        <v>809</v>
      </c>
      <c r="G255" s="2" t="s">
        <v>50</v>
      </c>
      <c r="H255" s="4"/>
      <c r="I255" s="51">
        <v>0</v>
      </c>
      <c r="J255" s="262">
        <v>0</v>
      </c>
      <c r="K255" s="264">
        <v>0</v>
      </c>
      <c r="L255" s="3">
        <v>500</v>
      </c>
      <c r="M255" s="3">
        <f t="shared" si="113"/>
        <v>0</v>
      </c>
      <c r="N255" s="3">
        <f t="shared" si="114"/>
        <v>0</v>
      </c>
      <c r="O255" s="265">
        <f t="shared" ref="O255:O263" si="121">N255+M255+L255+1.1*K255+J255*4.3+I255*3.77</f>
        <v>500</v>
      </c>
      <c r="P255" s="3"/>
      <c r="Q255" s="3">
        <v>0</v>
      </c>
      <c r="R255" s="3"/>
      <c r="S255" s="3">
        <f t="shared" si="116"/>
        <v>500</v>
      </c>
      <c r="T255" s="3">
        <f t="shared" si="117"/>
        <v>50</v>
      </c>
      <c r="U255" s="3">
        <f t="shared" si="118"/>
        <v>25</v>
      </c>
      <c r="V255" s="3">
        <f t="shared" si="119"/>
        <v>200</v>
      </c>
      <c r="W255" s="3">
        <f t="shared" si="111"/>
        <v>275</v>
      </c>
      <c r="X255" s="3">
        <f t="shared" si="112"/>
        <v>575</v>
      </c>
      <c r="Y255" s="3">
        <f t="shared" si="120"/>
        <v>775</v>
      </c>
      <c r="Z255" s="2">
        <v>5</v>
      </c>
    </row>
    <row r="256" spans="1:26" hidden="1" x14ac:dyDescent="0.25">
      <c r="A256" s="2">
        <v>397</v>
      </c>
      <c r="B256" s="2" t="s">
        <v>742</v>
      </c>
      <c r="C256" s="2" t="s">
        <v>24</v>
      </c>
      <c r="D256" s="2" t="s">
        <v>14</v>
      </c>
      <c r="E256" s="2" t="s">
        <v>51</v>
      </c>
      <c r="F256" s="2" t="s">
        <v>52</v>
      </c>
      <c r="G256" s="2" t="s">
        <v>50</v>
      </c>
      <c r="H256" s="4" t="s">
        <v>54</v>
      </c>
      <c r="I256" s="51">
        <v>0</v>
      </c>
      <c r="J256" s="262">
        <v>0</v>
      </c>
      <c r="K256" s="264">
        <v>0</v>
      </c>
      <c r="L256" s="3">
        <f>85/6</f>
        <v>14.166666666666666</v>
      </c>
      <c r="M256" s="3">
        <f t="shared" si="113"/>
        <v>0</v>
      </c>
      <c r="N256" s="3">
        <f t="shared" si="114"/>
        <v>0</v>
      </c>
      <c r="O256" s="265">
        <f t="shared" si="121"/>
        <v>14.166666666666666</v>
      </c>
      <c r="P256" s="3">
        <v>0</v>
      </c>
      <c r="Q256" s="3">
        <v>0</v>
      </c>
      <c r="R256" s="3">
        <f t="shared" ref="R256:R261" si="122">2*L256</f>
        <v>28.333333333333332</v>
      </c>
      <c r="S256" s="3">
        <f t="shared" si="116"/>
        <v>42.5</v>
      </c>
      <c r="T256" s="3">
        <f t="shared" si="117"/>
        <v>4.25</v>
      </c>
      <c r="U256" s="3">
        <f t="shared" si="118"/>
        <v>2.125</v>
      </c>
      <c r="V256" s="3">
        <f t="shared" si="119"/>
        <v>17</v>
      </c>
      <c r="W256" s="3">
        <f t="shared" si="111"/>
        <v>23.375</v>
      </c>
      <c r="X256" s="3">
        <f t="shared" si="112"/>
        <v>48.875</v>
      </c>
      <c r="Y256" s="3">
        <f t="shared" si="120"/>
        <v>65.875</v>
      </c>
      <c r="Z256" s="2">
        <v>4</v>
      </c>
    </row>
    <row r="257" spans="1:26" hidden="1" x14ac:dyDescent="0.25">
      <c r="A257" s="2">
        <v>398</v>
      </c>
      <c r="B257" s="2" t="s">
        <v>743</v>
      </c>
      <c r="C257" s="2" t="s">
        <v>25</v>
      </c>
      <c r="D257" s="2" t="s">
        <v>14</v>
      </c>
      <c r="E257" s="2" t="s">
        <v>51</v>
      </c>
      <c r="F257" s="2" t="s">
        <v>52</v>
      </c>
      <c r="G257" s="2" t="s">
        <v>50</v>
      </c>
      <c r="H257" s="4" t="s">
        <v>54</v>
      </c>
      <c r="I257" s="51">
        <v>0</v>
      </c>
      <c r="J257" s="262">
        <v>0</v>
      </c>
      <c r="K257" s="264">
        <v>0</v>
      </c>
      <c r="L257" s="3">
        <f>114/6</f>
        <v>19</v>
      </c>
      <c r="M257" s="3">
        <f t="shared" si="113"/>
        <v>0</v>
      </c>
      <c r="N257" s="3">
        <f t="shared" si="114"/>
        <v>0</v>
      </c>
      <c r="O257" s="265">
        <f t="shared" si="121"/>
        <v>19</v>
      </c>
      <c r="P257" s="3">
        <v>0</v>
      </c>
      <c r="Q257" s="3">
        <v>0</v>
      </c>
      <c r="R257" s="3">
        <f t="shared" si="122"/>
        <v>38</v>
      </c>
      <c r="S257" s="3">
        <f t="shared" si="116"/>
        <v>57</v>
      </c>
      <c r="T257" s="3">
        <f t="shared" si="117"/>
        <v>5.7</v>
      </c>
      <c r="U257" s="3">
        <f t="shared" si="118"/>
        <v>2.85</v>
      </c>
      <c r="V257" s="3">
        <f t="shared" si="119"/>
        <v>22.8</v>
      </c>
      <c r="W257" s="3">
        <f t="shared" si="111"/>
        <v>31.35</v>
      </c>
      <c r="X257" s="3">
        <f t="shared" si="112"/>
        <v>65.55</v>
      </c>
      <c r="Y257" s="3">
        <f t="shared" si="120"/>
        <v>88.35</v>
      </c>
      <c r="Z257" s="2">
        <v>4</v>
      </c>
    </row>
    <row r="258" spans="1:26" hidden="1" x14ac:dyDescent="0.25">
      <c r="A258" s="2">
        <v>399</v>
      </c>
      <c r="B258" s="2" t="s">
        <v>744</v>
      </c>
      <c r="C258" s="2" t="s">
        <v>26</v>
      </c>
      <c r="D258" s="2" t="s">
        <v>14</v>
      </c>
      <c r="E258" s="2" t="s">
        <v>51</v>
      </c>
      <c r="F258" s="2" t="s">
        <v>52</v>
      </c>
      <c r="G258" s="2" t="s">
        <v>50</v>
      </c>
      <c r="H258" s="4" t="s">
        <v>54</v>
      </c>
      <c r="I258" s="51">
        <v>0</v>
      </c>
      <c r="J258" s="262">
        <v>0</v>
      </c>
      <c r="K258" s="264">
        <v>0</v>
      </c>
      <c r="L258" s="3">
        <f>137/6</f>
        <v>22.833333333333332</v>
      </c>
      <c r="M258" s="3">
        <f t="shared" si="113"/>
        <v>0</v>
      </c>
      <c r="N258" s="3">
        <f t="shared" si="114"/>
        <v>0</v>
      </c>
      <c r="O258" s="265">
        <f t="shared" si="121"/>
        <v>22.833333333333332</v>
      </c>
      <c r="P258" s="3">
        <v>0</v>
      </c>
      <c r="Q258" s="3">
        <v>0</v>
      </c>
      <c r="R258" s="3">
        <f t="shared" si="122"/>
        <v>45.666666666666664</v>
      </c>
      <c r="S258" s="3">
        <f t="shared" si="116"/>
        <v>68.5</v>
      </c>
      <c r="T258" s="3">
        <f t="shared" si="117"/>
        <v>6.8500000000000005</v>
      </c>
      <c r="U258" s="3">
        <f t="shared" si="118"/>
        <v>3.4250000000000003</v>
      </c>
      <c r="V258" s="3">
        <f t="shared" si="119"/>
        <v>27.400000000000002</v>
      </c>
      <c r="W258" s="3">
        <f t="shared" si="111"/>
        <v>37.675000000000004</v>
      </c>
      <c r="X258" s="3">
        <f t="shared" si="112"/>
        <v>78.774999999999991</v>
      </c>
      <c r="Y258" s="3">
        <f t="shared" si="120"/>
        <v>106.17500000000001</v>
      </c>
      <c r="Z258" s="2">
        <v>5</v>
      </c>
    </row>
    <row r="259" spans="1:26" hidden="1" x14ac:dyDescent="0.25">
      <c r="A259" s="2">
        <v>400</v>
      </c>
      <c r="B259" s="2" t="s">
        <v>745</v>
      </c>
      <c r="C259" s="2" t="s">
        <v>27</v>
      </c>
      <c r="D259" s="2" t="s">
        <v>14</v>
      </c>
      <c r="E259" s="2" t="s">
        <v>51</v>
      </c>
      <c r="F259" s="2" t="s">
        <v>52</v>
      </c>
      <c r="G259" s="2" t="s">
        <v>50</v>
      </c>
      <c r="H259" s="4" t="s">
        <v>54</v>
      </c>
      <c r="I259" s="51">
        <v>0</v>
      </c>
      <c r="J259" s="262">
        <v>0</v>
      </c>
      <c r="K259" s="264">
        <v>0</v>
      </c>
      <c r="L259" s="3">
        <f>184/6</f>
        <v>30.666666666666668</v>
      </c>
      <c r="M259" s="3">
        <f t="shared" si="113"/>
        <v>0</v>
      </c>
      <c r="N259" s="3">
        <f t="shared" si="114"/>
        <v>0</v>
      </c>
      <c r="O259" s="265">
        <f t="shared" si="121"/>
        <v>30.666666666666668</v>
      </c>
      <c r="P259" s="3">
        <v>0</v>
      </c>
      <c r="Q259" s="3">
        <v>0</v>
      </c>
      <c r="R259" s="3">
        <f t="shared" si="122"/>
        <v>61.333333333333336</v>
      </c>
      <c r="S259" s="3">
        <f t="shared" si="116"/>
        <v>92</v>
      </c>
      <c r="T259" s="3">
        <f t="shared" si="117"/>
        <v>9.2000000000000011</v>
      </c>
      <c r="U259" s="3">
        <f t="shared" si="118"/>
        <v>4.6000000000000005</v>
      </c>
      <c r="V259" s="3">
        <f t="shared" si="119"/>
        <v>36.800000000000004</v>
      </c>
      <c r="W259" s="3">
        <f t="shared" si="111"/>
        <v>50.600000000000009</v>
      </c>
      <c r="X259" s="3">
        <f t="shared" si="112"/>
        <v>105.8</v>
      </c>
      <c r="Y259" s="3">
        <f t="shared" si="120"/>
        <v>142.60000000000002</v>
      </c>
      <c r="Z259" s="2">
        <v>5</v>
      </c>
    </row>
    <row r="260" spans="1:26" hidden="1" x14ac:dyDescent="0.25">
      <c r="A260" s="2"/>
      <c r="B260" s="2" t="s">
        <v>746</v>
      </c>
      <c r="C260" s="2" t="s">
        <v>29</v>
      </c>
      <c r="D260" s="2" t="s">
        <v>14</v>
      </c>
      <c r="E260" s="2" t="s">
        <v>51</v>
      </c>
      <c r="F260" s="2" t="s">
        <v>52</v>
      </c>
      <c r="G260" s="2" t="s">
        <v>50</v>
      </c>
      <c r="H260" s="4" t="s">
        <v>54</v>
      </c>
      <c r="I260" s="51">
        <v>0</v>
      </c>
      <c r="J260" s="262">
        <v>0</v>
      </c>
      <c r="K260" s="264">
        <v>0</v>
      </c>
      <c r="L260" s="3">
        <f>305/6</f>
        <v>50.833333333333336</v>
      </c>
      <c r="M260" s="3">
        <f t="shared" si="113"/>
        <v>0</v>
      </c>
      <c r="N260" s="3">
        <f t="shared" si="114"/>
        <v>0</v>
      </c>
      <c r="O260" s="265">
        <f t="shared" si="121"/>
        <v>50.833333333333336</v>
      </c>
      <c r="P260" s="3">
        <v>0</v>
      </c>
      <c r="Q260" s="3">
        <v>0</v>
      </c>
      <c r="R260" s="3">
        <f t="shared" si="122"/>
        <v>101.66666666666667</v>
      </c>
      <c r="S260" s="3">
        <f t="shared" si="116"/>
        <v>152.5</v>
      </c>
      <c r="T260" s="3">
        <f t="shared" si="117"/>
        <v>15.25</v>
      </c>
      <c r="U260" s="3">
        <f t="shared" si="118"/>
        <v>7.625</v>
      </c>
      <c r="V260" s="3">
        <f t="shared" si="119"/>
        <v>61</v>
      </c>
      <c r="W260" s="3">
        <f t="shared" ref="W260:W261" si="123">SUM(T260:V260)</f>
        <v>83.875</v>
      </c>
      <c r="X260" s="3">
        <f t="shared" ref="X260:X261" si="124">SUM(S260:U260)</f>
        <v>175.375</v>
      </c>
      <c r="Y260" s="3">
        <f t="shared" si="120"/>
        <v>236.375</v>
      </c>
      <c r="Z260" s="2">
        <v>6</v>
      </c>
    </row>
    <row r="261" spans="1:26" hidden="1" x14ac:dyDescent="0.25">
      <c r="A261" s="2"/>
      <c r="B261" s="2" t="s">
        <v>747</v>
      </c>
      <c r="C261" s="2" t="s">
        <v>521</v>
      </c>
      <c r="D261" s="2" t="s">
        <v>14</v>
      </c>
      <c r="E261" s="2" t="s">
        <v>51</v>
      </c>
      <c r="F261" s="2" t="s">
        <v>52</v>
      </c>
      <c r="G261" s="2" t="s">
        <v>50</v>
      </c>
      <c r="H261" s="4" t="s">
        <v>54</v>
      </c>
      <c r="I261" s="51">
        <v>0</v>
      </c>
      <c r="J261" s="262">
        <v>0</v>
      </c>
      <c r="K261" s="264">
        <v>0</v>
      </c>
      <c r="L261" s="3">
        <f>435/6</f>
        <v>72.5</v>
      </c>
      <c r="M261" s="3">
        <f t="shared" si="113"/>
        <v>0</v>
      </c>
      <c r="N261" s="3">
        <f t="shared" si="114"/>
        <v>0</v>
      </c>
      <c r="O261" s="265">
        <f t="shared" si="121"/>
        <v>72.5</v>
      </c>
      <c r="P261" s="3">
        <v>0</v>
      </c>
      <c r="Q261" s="3">
        <v>0</v>
      </c>
      <c r="R261" s="3">
        <f t="shared" si="122"/>
        <v>145</v>
      </c>
      <c r="S261" s="3">
        <f t="shared" si="116"/>
        <v>217.5</v>
      </c>
      <c r="T261" s="3">
        <f t="shared" si="117"/>
        <v>21.75</v>
      </c>
      <c r="U261" s="3">
        <f t="shared" si="118"/>
        <v>10.875</v>
      </c>
      <c r="V261" s="3">
        <f t="shared" si="119"/>
        <v>87</v>
      </c>
      <c r="W261" s="3">
        <f t="shared" si="123"/>
        <v>119.625</v>
      </c>
      <c r="X261" s="3">
        <f t="shared" si="124"/>
        <v>250.125</v>
      </c>
      <c r="Y261" s="3">
        <f t="shared" si="120"/>
        <v>337.125</v>
      </c>
      <c r="Z261" s="2">
        <v>8</v>
      </c>
    </row>
    <row r="262" spans="1:26" hidden="1" x14ac:dyDescent="0.25">
      <c r="A262" s="2">
        <v>401</v>
      </c>
      <c r="B262" s="2" t="s">
        <v>651</v>
      </c>
      <c r="C262" s="2" t="s">
        <v>14</v>
      </c>
      <c r="D262" s="2" t="s">
        <v>14</v>
      </c>
      <c r="E262" s="2" t="s">
        <v>12</v>
      </c>
      <c r="F262" s="2" t="s">
        <v>810</v>
      </c>
      <c r="G262" s="2" t="s">
        <v>50</v>
      </c>
      <c r="H262" s="4"/>
      <c r="I262" s="51">
        <v>0</v>
      </c>
      <c r="J262" s="262">
        <v>0</v>
      </c>
      <c r="K262" s="264">
        <v>0</v>
      </c>
      <c r="L262" s="3">
        <v>2500</v>
      </c>
      <c r="M262" s="3">
        <f t="shared" si="113"/>
        <v>0</v>
      </c>
      <c r="N262" s="3">
        <f t="shared" si="114"/>
        <v>0</v>
      </c>
      <c r="O262" s="265">
        <f t="shared" si="121"/>
        <v>2500</v>
      </c>
      <c r="P262" s="3">
        <v>0</v>
      </c>
      <c r="Q262" s="3">
        <v>0</v>
      </c>
      <c r="R262" s="3">
        <v>0</v>
      </c>
      <c r="S262" s="3">
        <f t="shared" si="116"/>
        <v>2500</v>
      </c>
      <c r="T262" s="3">
        <f t="shared" si="117"/>
        <v>250</v>
      </c>
      <c r="U262" s="3">
        <f t="shared" si="118"/>
        <v>125</v>
      </c>
      <c r="V262" s="3">
        <f t="shared" si="119"/>
        <v>1000</v>
      </c>
      <c r="W262" s="3">
        <f t="shared" si="111"/>
        <v>1375</v>
      </c>
      <c r="X262" s="3">
        <f t="shared" si="112"/>
        <v>2875</v>
      </c>
      <c r="Y262" s="3">
        <f t="shared" si="120"/>
        <v>3875</v>
      </c>
      <c r="Z262" s="2">
        <v>3</v>
      </c>
    </row>
    <row r="263" spans="1:26" hidden="1" x14ac:dyDescent="0.25">
      <c r="A263" s="2">
        <v>402</v>
      </c>
      <c r="B263" s="2" t="s">
        <v>791</v>
      </c>
      <c r="C263" s="2" t="s">
        <v>14</v>
      </c>
      <c r="D263" s="2" t="s">
        <v>14</v>
      </c>
      <c r="E263" s="2" t="s">
        <v>761</v>
      </c>
      <c r="F263" s="2" t="s">
        <v>62</v>
      </c>
      <c r="G263" s="2" t="s">
        <v>823</v>
      </c>
      <c r="H263" s="4"/>
      <c r="I263" s="51">
        <v>446</v>
      </c>
      <c r="J263" s="262">
        <v>0</v>
      </c>
      <c r="K263" s="264">
        <v>0</v>
      </c>
      <c r="L263" s="3">
        <v>0</v>
      </c>
      <c r="M263" s="3">
        <f t="shared" si="113"/>
        <v>252.21299999999999</v>
      </c>
      <c r="N263" s="3">
        <f t="shared" si="114"/>
        <v>336.28400000000005</v>
      </c>
      <c r="O263" s="265">
        <f t="shared" si="121"/>
        <v>2269.9170000000004</v>
      </c>
      <c r="P263" s="3">
        <v>0</v>
      </c>
      <c r="Q263" s="3">
        <v>0</v>
      </c>
      <c r="R263" s="3">
        <v>0</v>
      </c>
      <c r="S263" s="3">
        <f t="shared" si="116"/>
        <v>2269.9170000000004</v>
      </c>
      <c r="T263" s="3">
        <f t="shared" si="117"/>
        <v>226.99170000000004</v>
      </c>
      <c r="U263" s="3">
        <f t="shared" si="118"/>
        <v>113.49585000000002</v>
      </c>
      <c r="V263" s="3">
        <f t="shared" si="119"/>
        <v>907.96680000000015</v>
      </c>
      <c r="W263" s="3">
        <f t="shared" si="111"/>
        <v>1248.4543500000002</v>
      </c>
      <c r="X263" s="3">
        <f t="shared" si="112"/>
        <v>2610.4045500000002</v>
      </c>
      <c r="Y263" s="3">
        <f t="shared" si="120"/>
        <v>3518.3713500000003</v>
      </c>
      <c r="Z263" s="2">
        <v>2</v>
      </c>
    </row>
    <row r="264" spans="1:26" hidden="1" x14ac:dyDescent="0.25">
      <c r="A264" s="2">
        <v>403</v>
      </c>
      <c r="B264" s="2" t="s">
        <v>677</v>
      </c>
      <c r="C264" s="2" t="s">
        <v>14</v>
      </c>
      <c r="D264" s="2" t="s">
        <v>14</v>
      </c>
      <c r="E264" s="2" t="s">
        <v>809</v>
      </c>
      <c r="F264" s="2" t="s">
        <v>453</v>
      </c>
      <c r="G264" s="2" t="s">
        <v>50</v>
      </c>
      <c r="H264" s="4"/>
      <c r="I264" s="51">
        <v>0</v>
      </c>
      <c r="J264" s="262">
        <v>0</v>
      </c>
      <c r="K264" s="264">
        <v>0</v>
      </c>
      <c r="L264" s="3">
        <v>1300</v>
      </c>
      <c r="M264" s="3">
        <f t="shared" si="113"/>
        <v>0</v>
      </c>
      <c r="N264" s="3">
        <f t="shared" si="114"/>
        <v>0</v>
      </c>
      <c r="O264" s="265">
        <f t="shared" ref="O264:O266" si="125">N264+M264+L264+1.1*K264+J264*4.3+I264*3.77</f>
        <v>1300</v>
      </c>
      <c r="P264" s="3">
        <v>0</v>
      </c>
      <c r="Q264" s="3">
        <v>0</v>
      </c>
      <c r="R264" s="3">
        <v>0</v>
      </c>
      <c r="S264" s="3">
        <f t="shared" si="116"/>
        <v>1300</v>
      </c>
      <c r="T264" s="3">
        <f t="shared" si="117"/>
        <v>130</v>
      </c>
      <c r="U264" s="3">
        <f t="shared" si="118"/>
        <v>65</v>
      </c>
      <c r="V264" s="3">
        <f t="shared" si="119"/>
        <v>520</v>
      </c>
      <c r="W264" s="3">
        <f t="shared" si="111"/>
        <v>715</v>
      </c>
      <c r="X264" s="3">
        <f t="shared" si="112"/>
        <v>1495</v>
      </c>
      <c r="Y264" s="3">
        <f t="shared" si="120"/>
        <v>2015</v>
      </c>
      <c r="Z264" s="2">
        <v>2</v>
      </c>
    </row>
    <row r="265" spans="1:26" hidden="1" x14ac:dyDescent="0.25">
      <c r="A265" s="2">
        <v>405</v>
      </c>
      <c r="B265" s="2" t="s">
        <v>383</v>
      </c>
      <c r="C265" s="2" t="s">
        <v>14</v>
      </c>
      <c r="D265" s="2" t="s">
        <v>14</v>
      </c>
      <c r="E265" s="2" t="s">
        <v>809</v>
      </c>
      <c r="F265" s="2" t="s">
        <v>14</v>
      </c>
      <c r="G265" s="2" t="s">
        <v>50</v>
      </c>
      <c r="H265" s="4"/>
      <c r="I265" s="51">
        <v>0</v>
      </c>
      <c r="J265" s="262">
        <v>0</v>
      </c>
      <c r="K265" s="264">
        <v>0</v>
      </c>
      <c r="L265" s="3">
        <v>0</v>
      </c>
      <c r="M265" s="3">
        <f t="shared" si="113"/>
        <v>0</v>
      </c>
      <c r="N265" s="3">
        <f t="shared" si="114"/>
        <v>0</v>
      </c>
      <c r="O265" s="265">
        <f t="shared" si="125"/>
        <v>0</v>
      </c>
      <c r="P265" s="3">
        <v>0</v>
      </c>
      <c r="Q265" s="3">
        <v>0</v>
      </c>
      <c r="R265" s="3">
        <v>0</v>
      </c>
      <c r="S265" s="3">
        <f t="shared" si="116"/>
        <v>0</v>
      </c>
      <c r="T265" s="3">
        <f t="shared" si="117"/>
        <v>0</v>
      </c>
      <c r="U265" s="3">
        <f t="shared" si="118"/>
        <v>0</v>
      </c>
      <c r="V265" s="3">
        <f t="shared" si="119"/>
        <v>0</v>
      </c>
      <c r="W265" s="3">
        <f t="shared" si="111"/>
        <v>0</v>
      </c>
      <c r="X265" s="3">
        <f t="shared" si="112"/>
        <v>0</v>
      </c>
      <c r="Y265" s="3">
        <f t="shared" si="120"/>
        <v>0</v>
      </c>
      <c r="Z265" s="2"/>
    </row>
    <row r="266" spans="1:26" hidden="1" x14ac:dyDescent="0.25">
      <c r="A266" s="2">
        <v>406</v>
      </c>
      <c r="B266" s="2" t="s">
        <v>536</v>
      </c>
      <c r="C266" s="2" t="s">
        <v>14</v>
      </c>
      <c r="D266" s="2" t="s">
        <v>14</v>
      </c>
      <c r="E266" s="2" t="s">
        <v>133</v>
      </c>
      <c r="F266" s="2" t="s">
        <v>133</v>
      </c>
      <c r="G266" s="2" t="s">
        <v>823</v>
      </c>
      <c r="H266" s="4"/>
      <c r="I266" s="51">
        <v>0</v>
      </c>
      <c r="J266" s="262">
        <v>0</v>
      </c>
      <c r="K266" s="264">
        <v>0</v>
      </c>
      <c r="L266" s="3">
        <v>0</v>
      </c>
      <c r="M266" s="3">
        <f t="shared" si="113"/>
        <v>0</v>
      </c>
      <c r="N266" s="3">
        <f t="shared" si="114"/>
        <v>0</v>
      </c>
      <c r="O266" s="265">
        <f t="shared" si="125"/>
        <v>0</v>
      </c>
      <c r="P266" s="3">
        <v>0</v>
      </c>
      <c r="Q266" s="3">
        <v>0</v>
      </c>
      <c r="R266" s="3">
        <v>0</v>
      </c>
      <c r="S266" s="3">
        <f t="shared" si="116"/>
        <v>0</v>
      </c>
      <c r="T266" s="3">
        <f t="shared" si="117"/>
        <v>0</v>
      </c>
      <c r="U266" s="3">
        <f t="shared" si="118"/>
        <v>0</v>
      </c>
      <c r="V266" s="3">
        <f t="shared" si="119"/>
        <v>0</v>
      </c>
      <c r="W266" s="3">
        <f t="shared" si="111"/>
        <v>0</v>
      </c>
      <c r="X266" s="3">
        <f t="shared" si="112"/>
        <v>0</v>
      </c>
      <c r="Y266" s="3">
        <f t="shared" si="120"/>
        <v>0</v>
      </c>
      <c r="Z266" s="2"/>
    </row>
    <row r="267" spans="1:26" hidden="1" x14ac:dyDescent="0.25">
      <c r="A267" s="2">
        <v>408</v>
      </c>
      <c r="B267" s="2" t="s">
        <v>373</v>
      </c>
      <c r="C267" s="2" t="s">
        <v>14</v>
      </c>
      <c r="D267" s="2" t="s">
        <v>14</v>
      </c>
      <c r="E267" s="2" t="s">
        <v>14</v>
      </c>
      <c r="F267" s="2" t="s">
        <v>14</v>
      </c>
      <c r="G267" s="2" t="s">
        <v>50</v>
      </c>
      <c r="H267" s="2"/>
      <c r="I267" s="51">
        <v>0</v>
      </c>
      <c r="J267" s="262">
        <v>0</v>
      </c>
      <c r="K267" s="264">
        <v>0</v>
      </c>
      <c r="L267" s="3">
        <v>0</v>
      </c>
      <c r="M267" s="3">
        <f t="shared" si="113"/>
        <v>0</v>
      </c>
      <c r="N267" s="3">
        <f t="shared" si="114"/>
        <v>0</v>
      </c>
      <c r="O267" s="265">
        <f t="shared" ref="O267:O284" si="126">N267+M267+L267+1.1*K267+J267*4.3+I267*3.77</f>
        <v>0</v>
      </c>
      <c r="P267" s="3">
        <v>0</v>
      </c>
      <c r="Q267" s="3">
        <v>0</v>
      </c>
      <c r="R267" s="3">
        <v>0</v>
      </c>
      <c r="S267" s="3">
        <f t="shared" si="116"/>
        <v>0</v>
      </c>
      <c r="T267" s="3">
        <f t="shared" si="117"/>
        <v>0</v>
      </c>
      <c r="U267" s="3">
        <f t="shared" si="118"/>
        <v>0</v>
      </c>
      <c r="V267" s="3">
        <f t="shared" si="119"/>
        <v>0</v>
      </c>
      <c r="W267" s="3">
        <f t="shared" si="111"/>
        <v>0</v>
      </c>
      <c r="X267" s="3">
        <f t="shared" si="112"/>
        <v>0</v>
      </c>
      <c r="Y267" s="3">
        <f t="shared" si="120"/>
        <v>0</v>
      </c>
      <c r="Z267" s="2"/>
    </row>
    <row r="268" spans="1:26" hidden="1" x14ac:dyDescent="0.25">
      <c r="A268" s="2">
        <v>409</v>
      </c>
      <c r="B268" s="2" t="s">
        <v>378</v>
      </c>
      <c r="C268" s="2" t="s">
        <v>14</v>
      </c>
      <c r="D268" s="2" t="s">
        <v>14</v>
      </c>
      <c r="E268" s="2" t="s">
        <v>14</v>
      </c>
      <c r="F268" s="2" t="s">
        <v>14</v>
      </c>
      <c r="G268" s="2" t="s">
        <v>50</v>
      </c>
      <c r="H268" s="2"/>
      <c r="I268" s="51">
        <v>0</v>
      </c>
      <c r="J268" s="262">
        <v>0</v>
      </c>
      <c r="K268" s="264">
        <v>0</v>
      </c>
      <c r="L268" s="3">
        <v>0</v>
      </c>
      <c r="M268" s="3">
        <f t="shared" si="113"/>
        <v>0</v>
      </c>
      <c r="N268" s="3">
        <f t="shared" si="114"/>
        <v>0</v>
      </c>
      <c r="O268" s="265">
        <f t="shared" si="126"/>
        <v>0</v>
      </c>
      <c r="P268" s="3">
        <v>0</v>
      </c>
      <c r="Q268" s="3">
        <v>0</v>
      </c>
      <c r="R268" s="3">
        <v>0</v>
      </c>
      <c r="S268" s="3">
        <f t="shared" si="116"/>
        <v>0</v>
      </c>
      <c r="T268" s="3">
        <f t="shared" si="117"/>
        <v>0</v>
      </c>
      <c r="U268" s="3">
        <f t="shared" si="118"/>
        <v>0</v>
      </c>
      <c r="V268" s="3">
        <f t="shared" si="119"/>
        <v>0</v>
      </c>
      <c r="W268" s="3">
        <f t="shared" si="111"/>
        <v>0</v>
      </c>
      <c r="X268" s="3">
        <f t="shared" si="112"/>
        <v>0</v>
      </c>
      <c r="Y268" s="3">
        <f t="shared" si="120"/>
        <v>0</v>
      </c>
      <c r="Z268" s="2"/>
    </row>
    <row r="269" spans="1:26" hidden="1" x14ac:dyDescent="0.25">
      <c r="A269" s="2">
        <v>410</v>
      </c>
      <c r="B269" s="2" t="s">
        <v>716</v>
      </c>
      <c r="C269" s="2" t="s">
        <v>14</v>
      </c>
      <c r="D269" s="2" t="s">
        <v>14</v>
      </c>
      <c r="E269" s="2" t="s">
        <v>14</v>
      </c>
      <c r="F269" s="2" t="s">
        <v>14</v>
      </c>
      <c r="G269" s="2" t="s">
        <v>50</v>
      </c>
      <c r="H269" s="2"/>
      <c r="I269" s="51">
        <v>0</v>
      </c>
      <c r="J269" s="262">
        <v>0</v>
      </c>
      <c r="K269" s="264">
        <v>0</v>
      </c>
      <c r="L269" s="3">
        <v>0</v>
      </c>
      <c r="M269" s="3">
        <f t="shared" si="113"/>
        <v>0</v>
      </c>
      <c r="N269" s="3">
        <f t="shared" si="114"/>
        <v>0</v>
      </c>
      <c r="O269" s="265">
        <f t="shared" si="126"/>
        <v>0</v>
      </c>
      <c r="P269" s="3">
        <v>0</v>
      </c>
      <c r="Q269" s="3">
        <v>0</v>
      </c>
      <c r="R269" s="3">
        <v>0</v>
      </c>
      <c r="S269" s="3">
        <f t="shared" si="116"/>
        <v>0</v>
      </c>
      <c r="T269" s="3">
        <f t="shared" si="117"/>
        <v>0</v>
      </c>
      <c r="U269" s="3">
        <f t="shared" si="118"/>
        <v>0</v>
      </c>
      <c r="V269" s="3">
        <f t="shared" si="119"/>
        <v>0</v>
      </c>
      <c r="W269" s="3">
        <f t="shared" si="111"/>
        <v>0</v>
      </c>
      <c r="X269" s="3">
        <f t="shared" si="112"/>
        <v>0</v>
      </c>
      <c r="Y269" s="3">
        <f t="shared" si="120"/>
        <v>0</v>
      </c>
      <c r="Z269" s="2"/>
    </row>
    <row r="270" spans="1:26" hidden="1" x14ac:dyDescent="0.25">
      <c r="A270" s="2">
        <v>411</v>
      </c>
      <c r="B270" s="2" t="s">
        <v>519</v>
      </c>
      <c r="C270" s="2" t="s">
        <v>29</v>
      </c>
      <c r="D270" s="2" t="s">
        <v>14</v>
      </c>
      <c r="E270" s="2" t="s">
        <v>51</v>
      </c>
      <c r="F270" s="2" t="s">
        <v>517</v>
      </c>
      <c r="G270" s="2" t="s">
        <v>50</v>
      </c>
      <c r="H270" s="2"/>
      <c r="I270" s="51">
        <v>0</v>
      </c>
      <c r="J270" s="262">
        <v>0</v>
      </c>
      <c r="K270" s="264">
        <v>0</v>
      </c>
      <c r="L270" s="3">
        <f>688/6</f>
        <v>114.66666666666667</v>
      </c>
      <c r="M270" s="3">
        <f t="shared" si="113"/>
        <v>0</v>
      </c>
      <c r="N270" s="3">
        <f t="shared" si="114"/>
        <v>0</v>
      </c>
      <c r="O270" s="265">
        <f t="shared" si="126"/>
        <v>114.66666666666667</v>
      </c>
      <c r="P270" s="3">
        <v>0</v>
      </c>
      <c r="Q270" s="3">
        <v>0</v>
      </c>
      <c r="R270" s="3">
        <v>0</v>
      </c>
      <c r="S270" s="3">
        <f t="shared" si="116"/>
        <v>114.66666666666667</v>
      </c>
      <c r="T270" s="3">
        <f t="shared" si="117"/>
        <v>11.466666666666669</v>
      </c>
      <c r="U270" s="3">
        <f t="shared" si="118"/>
        <v>5.7333333333333343</v>
      </c>
      <c r="V270" s="3">
        <f t="shared" si="119"/>
        <v>45.866666666666674</v>
      </c>
      <c r="W270" s="3">
        <f t="shared" si="111"/>
        <v>63.066666666666677</v>
      </c>
      <c r="X270" s="3">
        <f t="shared" si="112"/>
        <v>131.86666666666667</v>
      </c>
      <c r="Y270" s="3">
        <f t="shared" si="120"/>
        <v>177.73333333333335</v>
      </c>
      <c r="Z270" s="2">
        <v>0</v>
      </c>
    </row>
    <row r="271" spans="1:26" hidden="1" x14ac:dyDescent="0.25">
      <c r="A271" s="2">
        <v>415</v>
      </c>
      <c r="B271" s="2" t="s">
        <v>623</v>
      </c>
      <c r="C271" s="2" t="s">
        <v>24</v>
      </c>
      <c r="D271" s="2" t="s">
        <v>14</v>
      </c>
      <c r="E271" s="2" t="s">
        <v>761</v>
      </c>
      <c r="F271" s="2" t="s">
        <v>520</v>
      </c>
      <c r="G271" s="2" t="s">
        <v>823</v>
      </c>
      <c r="H271" s="2"/>
      <c r="I271" s="51">
        <v>10</v>
      </c>
      <c r="J271" s="262">
        <v>0</v>
      </c>
      <c r="K271" s="264">
        <v>0</v>
      </c>
      <c r="L271" s="3">
        <v>0</v>
      </c>
      <c r="M271" s="3">
        <f t="shared" si="113"/>
        <v>5.6550000000000002</v>
      </c>
      <c r="N271" s="3">
        <f t="shared" si="114"/>
        <v>7.5400000000000009</v>
      </c>
      <c r="O271" s="265">
        <f t="shared" si="126"/>
        <v>50.895000000000003</v>
      </c>
      <c r="P271" s="3">
        <v>0</v>
      </c>
      <c r="Q271" s="3">
        <v>30</v>
      </c>
      <c r="R271" s="3">
        <v>0</v>
      </c>
      <c r="S271" s="3">
        <f t="shared" si="116"/>
        <v>80.89500000000001</v>
      </c>
      <c r="T271" s="3">
        <f t="shared" si="117"/>
        <v>8.089500000000001</v>
      </c>
      <c r="U271" s="3">
        <f t="shared" si="118"/>
        <v>4.0447500000000005</v>
      </c>
      <c r="V271" s="3">
        <f t="shared" si="119"/>
        <v>32.358000000000004</v>
      </c>
      <c r="W271" s="3">
        <f t="shared" si="111"/>
        <v>44.492250000000006</v>
      </c>
      <c r="X271" s="3">
        <f t="shared" si="112"/>
        <v>93.029250000000019</v>
      </c>
      <c r="Y271" s="3">
        <f t="shared" si="120"/>
        <v>125.38725000000002</v>
      </c>
      <c r="Z271" s="2">
        <v>2</v>
      </c>
    </row>
    <row r="272" spans="1:26" hidden="1" x14ac:dyDescent="0.25">
      <c r="A272" s="2">
        <v>416</v>
      </c>
      <c r="B272" s="2" t="s">
        <v>624</v>
      </c>
      <c r="C272" s="2" t="s">
        <v>25</v>
      </c>
      <c r="D272" s="2" t="s">
        <v>14</v>
      </c>
      <c r="E272" s="2" t="s">
        <v>761</v>
      </c>
      <c r="F272" s="2" t="s">
        <v>520</v>
      </c>
      <c r="G272" s="2" t="s">
        <v>823</v>
      </c>
      <c r="H272" s="2"/>
      <c r="I272" s="51">
        <v>15</v>
      </c>
      <c r="J272" s="262">
        <v>0</v>
      </c>
      <c r="K272" s="264">
        <v>0</v>
      </c>
      <c r="L272" s="3">
        <v>0</v>
      </c>
      <c r="M272" s="3">
        <f t="shared" si="113"/>
        <v>8.4824999999999999</v>
      </c>
      <c r="N272" s="3">
        <f t="shared" si="114"/>
        <v>11.31</v>
      </c>
      <c r="O272" s="265">
        <f t="shared" si="126"/>
        <v>76.342500000000001</v>
      </c>
      <c r="P272" s="3">
        <v>0</v>
      </c>
      <c r="Q272" s="3">
        <v>30</v>
      </c>
      <c r="R272" s="3">
        <v>0</v>
      </c>
      <c r="S272" s="3">
        <f t="shared" si="116"/>
        <v>106.3425</v>
      </c>
      <c r="T272" s="3">
        <f t="shared" si="117"/>
        <v>10.634250000000002</v>
      </c>
      <c r="U272" s="3">
        <f t="shared" si="118"/>
        <v>5.3171250000000008</v>
      </c>
      <c r="V272" s="3">
        <f t="shared" si="119"/>
        <v>42.537000000000006</v>
      </c>
      <c r="W272" s="3">
        <f t="shared" si="111"/>
        <v>58.488375000000005</v>
      </c>
      <c r="X272" s="3">
        <f t="shared" si="112"/>
        <v>122.29387500000001</v>
      </c>
      <c r="Y272" s="3">
        <f t="shared" si="120"/>
        <v>164.83087499999999</v>
      </c>
      <c r="Z272" s="2">
        <v>2</v>
      </c>
    </row>
    <row r="273" spans="1:26" hidden="1" x14ac:dyDescent="0.25">
      <c r="A273" s="2">
        <v>417</v>
      </c>
      <c r="B273" s="2" t="s">
        <v>625</v>
      </c>
      <c r="C273" s="2" t="s">
        <v>26</v>
      </c>
      <c r="D273" s="2" t="s">
        <v>14</v>
      </c>
      <c r="E273" s="2" t="s">
        <v>761</v>
      </c>
      <c r="F273" s="2" t="s">
        <v>520</v>
      </c>
      <c r="G273" s="2" t="s">
        <v>823</v>
      </c>
      <c r="H273" s="2"/>
      <c r="I273" s="51">
        <v>20</v>
      </c>
      <c r="J273" s="262">
        <v>0</v>
      </c>
      <c r="K273" s="264">
        <v>0</v>
      </c>
      <c r="L273" s="3">
        <v>0</v>
      </c>
      <c r="M273" s="3">
        <f t="shared" si="113"/>
        <v>11.31</v>
      </c>
      <c r="N273" s="3">
        <f t="shared" si="114"/>
        <v>15.080000000000002</v>
      </c>
      <c r="O273" s="265">
        <f t="shared" si="126"/>
        <v>101.79</v>
      </c>
      <c r="P273" s="3">
        <v>0</v>
      </c>
      <c r="Q273" s="3">
        <v>30</v>
      </c>
      <c r="R273" s="3">
        <v>0</v>
      </c>
      <c r="S273" s="3">
        <f t="shared" si="116"/>
        <v>131.79000000000002</v>
      </c>
      <c r="T273" s="3">
        <f t="shared" si="117"/>
        <v>13.179000000000002</v>
      </c>
      <c r="U273" s="3">
        <f t="shared" si="118"/>
        <v>6.589500000000001</v>
      </c>
      <c r="V273" s="3">
        <f t="shared" si="119"/>
        <v>52.716000000000008</v>
      </c>
      <c r="W273" s="3">
        <f t="shared" si="111"/>
        <v>72.484500000000011</v>
      </c>
      <c r="X273" s="3">
        <f t="shared" si="112"/>
        <v>151.55850000000004</v>
      </c>
      <c r="Y273" s="3">
        <f t="shared" si="120"/>
        <v>204.27450000000005</v>
      </c>
      <c r="Z273" s="2">
        <v>2.5</v>
      </c>
    </row>
    <row r="274" spans="1:26" hidden="1" x14ac:dyDescent="0.25">
      <c r="A274" s="2">
        <v>418</v>
      </c>
      <c r="B274" s="2" t="s">
        <v>626</v>
      </c>
      <c r="C274" s="2" t="s">
        <v>27</v>
      </c>
      <c r="D274" s="2" t="s">
        <v>14</v>
      </c>
      <c r="E274" s="2" t="s">
        <v>761</v>
      </c>
      <c r="F274" s="2" t="s">
        <v>520</v>
      </c>
      <c r="G274" s="2" t="s">
        <v>823</v>
      </c>
      <c r="H274" s="2"/>
      <c r="I274" s="51">
        <v>30</v>
      </c>
      <c r="J274" s="262">
        <v>0</v>
      </c>
      <c r="K274" s="264">
        <v>0</v>
      </c>
      <c r="L274" s="3">
        <v>0</v>
      </c>
      <c r="M274" s="3">
        <f t="shared" si="113"/>
        <v>16.965</v>
      </c>
      <c r="N274" s="3">
        <f t="shared" si="114"/>
        <v>22.62</v>
      </c>
      <c r="O274" s="265">
        <f t="shared" si="126"/>
        <v>152.685</v>
      </c>
      <c r="P274" s="3">
        <v>0</v>
      </c>
      <c r="Q274" s="3">
        <v>30</v>
      </c>
      <c r="R274" s="3">
        <v>0</v>
      </c>
      <c r="S274" s="3">
        <f t="shared" si="116"/>
        <v>182.685</v>
      </c>
      <c r="T274" s="3">
        <f t="shared" si="117"/>
        <v>18.2685</v>
      </c>
      <c r="U274" s="3">
        <f t="shared" si="118"/>
        <v>9.1342499999999998</v>
      </c>
      <c r="V274" s="3">
        <f t="shared" si="119"/>
        <v>73.073999999999998</v>
      </c>
      <c r="W274" s="3">
        <f t="shared" si="111"/>
        <v>100.47675</v>
      </c>
      <c r="X274" s="3">
        <f t="shared" si="112"/>
        <v>210.08775</v>
      </c>
      <c r="Y274" s="3">
        <f t="shared" si="120"/>
        <v>283.16174999999998</v>
      </c>
      <c r="Z274" s="2">
        <v>2.5</v>
      </c>
    </row>
    <row r="275" spans="1:26" hidden="1" x14ac:dyDescent="0.25">
      <c r="A275" s="2">
        <v>419</v>
      </c>
      <c r="B275" s="2" t="s">
        <v>804</v>
      </c>
      <c r="C275" s="2" t="s">
        <v>28</v>
      </c>
      <c r="D275" s="2" t="s">
        <v>14</v>
      </c>
      <c r="E275" s="2" t="s">
        <v>761</v>
      </c>
      <c r="F275" s="2" t="s">
        <v>522</v>
      </c>
      <c r="G275" s="2" t="s">
        <v>823</v>
      </c>
      <c r="H275" s="2"/>
      <c r="I275" s="51">
        <v>380</v>
      </c>
      <c r="J275" s="262">
        <v>0</v>
      </c>
      <c r="K275" s="264">
        <v>0</v>
      </c>
      <c r="L275" s="3">
        <v>0</v>
      </c>
      <c r="M275" s="3">
        <f t="shared" si="113"/>
        <v>214.89</v>
      </c>
      <c r="N275" s="3">
        <f t="shared" si="114"/>
        <v>286.52</v>
      </c>
      <c r="O275" s="265">
        <f t="shared" si="126"/>
        <v>1934.0099999999998</v>
      </c>
      <c r="P275" s="3">
        <v>0</v>
      </c>
      <c r="Q275" s="3">
        <v>150</v>
      </c>
      <c r="R275" s="3">
        <v>0</v>
      </c>
      <c r="S275" s="3">
        <f t="shared" si="116"/>
        <v>2084.0099999999998</v>
      </c>
      <c r="T275" s="3">
        <f t="shared" si="117"/>
        <v>208.40099999999998</v>
      </c>
      <c r="U275" s="3">
        <f t="shared" si="118"/>
        <v>104.20049999999999</v>
      </c>
      <c r="V275" s="3">
        <f t="shared" si="119"/>
        <v>833.60399999999993</v>
      </c>
      <c r="W275" s="3">
        <f t="shared" si="111"/>
        <v>1146.2055</v>
      </c>
      <c r="X275" s="3">
        <f t="shared" si="112"/>
        <v>2396.6114999999995</v>
      </c>
      <c r="Y275" s="3">
        <f t="shared" si="120"/>
        <v>3230.2154999999998</v>
      </c>
      <c r="Z275" s="2">
        <v>5</v>
      </c>
    </row>
    <row r="276" spans="1:26" hidden="1" x14ac:dyDescent="0.25">
      <c r="A276" s="2">
        <v>420</v>
      </c>
      <c r="B276" s="2" t="s">
        <v>805</v>
      </c>
      <c r="C276" s="2" t="s">
        <v>29</v>
      </c>
      <c r="D276" s="2" t="s">
        <v>14</v>
      </c>
      <c r="E276" s="2" t="s">
        <v>761</v>
      </c>
      <c r="F276" s="2" t="s">
        <v>522</v>
      </c>
      <c r="G276" s="2" t="s">
        <v>823</v>
      </c>
      <c r="H276" s="2"/>
      <c r="I276" s="51">
        <v>560</v>
      </c>
      <c r="J276" s="262">
        <v>0</v>
      </c>
      <c r="K276" s="264">
        <v>0</v>
      </c>
      <c r="L276" s="3">
        <v>0</v>
      </c>
      <c r="M276" s="3">
        <f t="shared" si="113"/>
        <v>316.67999999999995</v>
      </c>
      <c r="N276" s="3">
        <f t="shared" si="114"/>
        <v>422.24</v>
      </c>
      <c r="O276" s="265">
        <f t="shared" si="126"/>
        <v>2850.12</v>
      </c>
      <c r="P276" s="3">
        <v>0</v>
      </c>
      <c r="Q276" s="3">
        <v>150</v>
      </c>
      <c r="R276" s="3">
        <v>0</v>
      </c>
      <c r="S276" s="3">
        <f t="shared" si="116"/>
        <v>3000.12</v>
      </c>
      <c r="T276" s="3">
        <f t="shared" si="117"/>
        <v>300.012</v>
      </c>
      <c r="U276" s="3">
        <f t="shared" si="118"/>
        <v>150.006</v>
      </c>
      <c r="V276" s="3">
        <f t="shared" si="119"/>
        <v>1200.048</v>
      </c>
      <c r="W276" s="3">
        <f t="shared" si="111"/>
        <v>1650.066</v>
      </c>
      <c r="X276" s="3">
        <f t="shared" si="112"/>
        <v>3450.1379999999999</v>
      </c>
      <c r="Y276" s="3">
        <f t="shared" si="120"/>
        <v>4650.1859999999997</v>
      </c>
      <c r="Z276" s="2">
        <v>5</v>
      </c>
    </row>
    <row r="277" spans="1:26" hidden="1" x14ac:dyDescent="0.25">
      <c r="A277" s="2">
        <v>421</v>
      </c>
      <c r="B277" s="2" t="s">
        <v>806</v>
      </c>
      <c r="C277" s="2" t="s">
        <v>521</v>
      </c>
      <c r="D277" s="2" t="s">
        <v>14</v>
      </c>
      <c r="E277" s="2" t="s">
        <v>761</v>
      </c>
      <c r="F277" s="2" t="s">
        <v>522</v>
      </c>
      <c r="G277" s="2" t="s">
        <v>823</v>
      </c>
      <c r="H277" s="2"/>
      <c r="I277" s="51">
        <v>860</v>
      </c>
      <c r="J277" s="262">
        <v>0</v>
      </c>
      <c r="K277" s="264">
        <v>0</v>
      </c>
      <c r="L277" s="3">
        <v>0</v>
      </c>
      <c r="M277" s="3">
        <f t="shared" si="113"/>
        <v>486.32999999999993</v>
      </c>
      <c r="N277" s="3">
        <f t="shared" si="114"/>
        <v>648.44000000000005</v>
      </c>
      <c r="O277" s="265">
        <f t="shared" si="126"/>
        <v>4376.9699999999993</v>
      </c>
      <c r="P277" s="3">
        <v>0</v>
      </c>
      <c r="Q277" s="3">
        <v>150</v>
      </c>
      <c r="R277" s="3">
        <v>0</v>
      </c>
      <c r="S277" s="3">
        <f t="shared" si="116"/>
        <v>4526.9699999999993</v>
      </c>
      <c r="T277" s="3">
        <f t="shared" si="117"/>
        <v>452.69699999999995</v>
      </c>
      <c r="U277" s="3">
        <f t="shared" si="118"/>
        <v>226.34849999999997</v>
      </c>
      <c r="V277" s="3">
        <f t="shared" si="119"/>
        <v>1810.7879999999998</v>
      </c>
      <c r="W277" s="3">
        <f t="shared" si="111"/>
        <v>2489.8334999999997</v>
      </c>
      <c r="X277" s="3">
        <f t="shared" si="112"/>
        <v>5206.0154999999995</v>
      </c>
      <c r="Y277" s="3">
        <f t="shared" si="120"/>
        <v>7016.8034999999991</v>
      </c>
      <c r="Z277" s="2">
        <v>6</v>
      </c>
    </row>
    <row r="278" spans="1:26" hidden="1" x14ac:dyDescent="0.25">
      <c r="A278" s="2">
        <v>422</v>
      </c>
      <c r="B278" s="2" t="s">
        <v>627</v>
      </c>
      <c r="C278" s="2" t="s">
        <v>24</v>
      </c>
      <c r="D278" s="2" t="s">
        <v>14</v>
      </c>
      <c r="E278" s="2" t="s">
        <v>761</v>
      </c>
      <c r="F278" s="2" t="s">
        <v>522</v>
      </c>
      <c r="G278" s="2" t="s">
        <v>823</v>
      </c>
      <c r="H278" s="2"/>
      <c r="I278" s="51">
        <v>45</v>
      </c>
      <c r="J278" s="262">
        <v>0</v>
      </c>
      <c r="K278" s="264">
        <v>0</v>
      </c>
      <c r="L278" s="3">
        <v>0</v>
      </c>
      <c r="M278" s="3">
        <f t="shared" si="113"/>
        <v>25.447500000000002</v>
      </c>
      <c r="N278" s="3">
        <f t="shared" si="114"/>
        <v>33.93</v>
      </c>
      <c r="O278" s="265">
        <f t="shared" si="126"/>
        <v>229.0275</v>
      </c>
      <c r="P278" s="3">
        <v>0</v>
      </c>
      <c r="Q278" s="3">
        <v>30</v>
      </c>
      <c r="R278" s="3">
        <v>0</v>
      </c>
      <c r="S278" s="3">
        <f t="shared" si="116"/>
        <v>259.02750000000003</v>
      </c>
      <c r="T278" s="3">
        <f t="shared" si="117"/>
        <v>25.902750000000005</v>
      </c>
      <c r="U278" s="3">
        <f t="shared" si="118"/>
        <v>12.951375000000002</v>
      </c>
      <c r="V278" s="3">
        <f t="shared" si="119"/>
        <v>103.61100000000002</v>
      </c>
      <c r="W278" s="3">
        <f t="shared" si="111"/>
        <v>142.46512500000003</v>
      </c>
      <c r="X278" s="3">
        <f t="shared" si="112"/>
        <v>297.88162500000004</v>
      </c>
      <c r="Y278" s="3">
        <f t="shared" si="120"/>
        <v>401.49262500000009</v>
      </c>
      <c r="Z278" s="2">
        <v>2</v>
      </c>
    </row>
    <row r="279" spans="1:26" hidden="1" x14ac:dyDescent="0.25">
      <c r="A279" s="2">
        <v>423</v>
      </c>
      <c r="B279" s="2" t="s">
        <v>628</v>
      </c>
      <c r="C279" s="2" t="s">
        <v>25</v>
      </c>
      <c r="D279" s="2" t="s">
        <v>14</v>
      </c>
      <c r="E279" s="2" t="s">
        <v>761</v>
      </c>
      <c r="F279" s="2" t="s">
        <v>522</v>
      </c>
      <c r="G279" s="2" t="s">
        <v>823</v>
      </c>
      <c r="H279" s="2"/>
      <c r="I279" s="51">
        <v>60</v>
      </c>
      <c r="J279" s="262">
        <v>0</v>
      </c>
      <c r="K279" s="264">
        <v>0</v>
      </c>
      <c r="L279" s="3">
        <v>0</v>
      </c>
      <c r="M279" s="3">
        <f t="shared" si="113"/>
        <v>33.93</v>
      </c>
      <c r="N279" s="3">
        <f t="shared" si="114"/>
        <v>45.24</v>
      </c>
      <c r="O279" s="265">
        <f t="shared" si="126"/>
        <v>305.37</v>
      </c>
      <c r="P279" s="3">
        <v>0</v>
      </c>
      <c r="Q279" s="3">
        <v>30</v>
      </c>
      <c r="R279" s="3">
        <v>0</v>
      </c>
      <c r="S279" s="3">
        <f t="shared" si="116"/>
        <v>335.37</v>
      </c>
      <c r="T279" s="3">
        <f t="shared" si="117"/>
        <v>33.536999999999999</v>
      </c>
      <c r="U279" s="3">
        <f t="shared" si="118"/>
        <v>16.7685</v>
      </c>
      <c r="V279" s="3">
        <f t="shared" si="119"/>
        <v>134.148</v>
      </c>
      <c r="W279" s="3">
        <f t="shared" si="111"/>
        <v>184.45349999999999</v>
      </c>
      <c r="X279" s="3">
        <f t="shared" si="112"/>
        <v>385.6755</v>
      </c>
      <c r="Y279" s="3">
        <f t="shared" si="120"/>
        <v>519.82349999999997</v>
      </c>
      <c r="Z279" s="2">
        <v>2</v>
      </c>
    </row>
    <row r="280" spans="1:26" hidden="1" x14ac:dyDescent="0.25">
      <c r="A280" s="2">
        <v>424</v>
      </c>
      <c r="B280" s="2" t="s">
        <v>629</v>
      </c>
      <c r="C280" s="2" t="s">
        <v>26</v>
      </c>
      <c r="D280" s="2" t="s">
        <v>14</v>
      </c>
      <c r="E280" s="2" t="s">
        <v>761</v>
      </c>
      <c r="F280" s="2" t="s">
        <v>522</v>
      </c>
      <c r="G280" s="2" t="s">
        <v>823</v>
      </c>
      <c r="H280" s="2"/>
      <c r="I280" s="51">
        <v>80</v>
      </c>
      <c r="J280" s="262">
        <v>0</v>
      </c>
      <c r="K280" s="264">
        <v>0</v>
      </c>
      <c r="L280" s="3">
        <v>0</v>
      </c>
      <c r="M280" s="3">
        <f t="shared" si="113"/>
        <v>45.24</v>
      </c>
      <c r="N280" s="3">
        <f t="shared" si="114"/>
        <v>60.320000000000007</v>
      </c>
      <c r="O280" s="265">
        <f t="shared" si="126"/>
        <v>407.16</v>
      </c>
      <c r="P280" s="3">
        <v>0</v>
      </c>
      <c r="Q280" s="3">
        <v>30</v>
      </c>
      <c r="R280" s="3">
        <v>0</v>
      </c>
      <c r="S280" s="3">
        <f t="shared" si="116"/>
        <v>437.16</v>
      </c>
      <c r="T280" s="3">
        <f t="shared" si="117"/>
        <v>43.716000000000008</v>
      </c>
      <c r="U280" s="3">
        <f t="shared" si="118"/>
        <v>21.858000000000004</v>
      </c>
      <c r="V280" s="3">
        <f t="shared" si="119"/>
        <v>174.86400000000003</v>
      </c>
      <c r="W280" s="3">
        <f t="shared" si="111"/>
        <v>240.43800000000005</v>
      </c>
      <c r="X280" s="3">
        <f t="shared" si="112"/>
        <v>502.73400000000004</v>
      </c>
      <c r="Y280" s="3">
        <f t="shared" si="120"/>
        <v>677.59800000000007</v>
      </c>
      <c r="Z280" s="2">
        <v>2.5</v>
      </c>
    </row>
    <row r="281" spans="1:26" hidden="1" x14ac:dyDescent="0.25">
      <c r="A281" s="2">
        <v>425</v>
      </c>
      <c r="B281" s="2" t="s">
        <v>630</v>
      </c>
      <c r="C281" s="2" t="s">
        <v>27</v>
      </c>
      <c r="D281" s="2" t="s">
        <v>14</v>
      </c>
      <c r="E281" s="2" t="s">
        <v>761</v>
      </c>
      <c r="F281" s="2" t="s">
        <v>522</v>
      </c>
      <c r="G281" s="2" t="s">
        <v>823</v>
      </c>
      <c r="H281" s="2"/>
      <c r="I281" s="51">
        <v>120</v>
      </c>
      <c r="J281" s="262">
        <v>0</v>
      </c>
      <c r="K281" s="264">
        <v>0</v>
      </c>
      <c r="L281" s="3">
        <v>0</v>
      </c>
      <c r="M281" s="3">
        <f t="shared" si="113"/>
        <v>67.86</v>
      </c>
      <c r="N281" s="3">
        <f t="shared" si="114"/>
        <v>90.48</v>
      </c>
      <c r="O281" s="265">
        <f t="shared" si="126"/>
        <v>610.74</v>
      </c>
      <c r="P281" s="3">
        <v>0</v>
      </c>
      <c r="Q281" s="3">
        <v>30</v>
      </c>
      <c r="R281" s="3">
        <v>0</v>
      </c>
      <c r="S281" s="3">
        <f t="shared" si="116"/>
        <v>640.74</v>
      </c>
      <c r="T281" s="3">
        <f t="shared" si="117"/>
        <v>64.073999999999998</v>
      </c>
      <c r="U281" s="3">
        <f t="shared" si="118"/>
        <v>32.036999999999999</v>
      </c>
      <c r="V281" s="3">
        <f t="shared" si="119"/>
        <v>256.29599999999999</v>
      </c>
      <c r="W281" s="3">
        <f t="shared" si="111"/>
        <v>352.40699999999998</v>
      </c>
      <c r="X281" s="3">
        <f t="shared" si="112"/>
        <v>736.851</v>
      </c>
      <c r="Y281" s="3">
        <f t="shared" si="120"/>
        <v>993.14699999999993</v>
      </c>
      <c r="Z281" s="2">
        <v>2.5</v>
      </c>
    </row>
    <row r="282" spans="1:26" hidden="1" x14ac:dyDescent="0.25">
      <c r="A282" s="2">
        <v>426</v>
      </c>
      <c r="B282" s="2" t="s">
        <v>631</v>
      </c>
      <c r="C282" s="2" t="s">
        <v>28</v>
      </c>
      <c r="D282" s="2" t="s">
        <v>14</v>
      </c>
      <c r="E282" s="2" t="s">
        <v>761</v>
      </c>
      <c r="F282" s="2" t="s">
        <v>522</v>
      </c>
      <c r="G282" s="2" t="s">
        <v>823</v>
      </c>
      <c r="H282" s="2"/>
      <c r="I282" s="51">
        <v>0</v>
      </c>
      <c r="J282" s="262">
        <v>0</v>
      </c>
      <c r="K282" s="264">
        <v>0</v>
      </c>
      <c r="L282" s="3">
        <v>0</v>
      </c>
      <c r="M282" s="3">
        <f t="shared" si="113"/>
        <v>0</v>
      </c>
      <c r="N282" s="3">
        <f t="shared" si="114"/>
        <v>0</v>
      </c>
      <c r="O282" s="265">
        <f t="shared" si="126"/>
        <v>0</v>
      </c>
      <c r="P282" s="3">
        <v>0</v>
      </c>
      <c r="Q282" s="196"/>
      <c r="R282" s="3">
        <v>0</v>
      </c>
      <c r="S282" s="3">
        <f t="shared" si="116"/>
        <v>0</v>
      </c>
      <c r="T282" s="3">
        <f t="shared" si="117"/>
        <v>0</v>
      </c>
      <c r="U282" s="3">
        <f t="shared" si="118"/>
        <v>0</v>
      </c>
      <c r="V282" s="3">
        <f t="shared" si="119"/>
        <v>0</v>
      </c>
      <c r="W282" s="3">
        <f t="shared" si="111"/>
        <v>0</v>
      </c>
      <c r="X282" s="3">
        <f t="shared" si="112"/>
        <v>0</v>
      </c>
      <c r="Y282" s="3">
        <f t="shared" si="120"/>
        <v>0</v>
      </c>
      <c r="Z282" s="2">
        <v>5</v>
      </c>
    </row>
    <row r="283" spans="1:26" hidden="1" x14ac:dyDescent="0.25">
      <c r="A283" s="2">
        <v>427</v>
      </c>
      <c r="B283" s="2" t="s">
        <v>632</v>
      </c>
      <c r="C283" s="2" t="s">
        <v>29</v>
      </c>
      <c r="D283" s="2" t="s">
        <v>14</v>
      </c>
      <c r="E283" s="2" t="s">
        <v>761</v>
      </c>
      <c r="F283" s="2" t="s">
        <v>522</v>
      </c>
      <c r="G283" s="2" t="s">
        <v>823</v>
      </c>
      <c r="H283" s="2"/>
      <c r="I283" s="51">
        <v>0</v>
      </c>
      <c r="J283" s="262">
        <v>0</v>
      </c>
      <c r="K283" s="264">
        <v>0</v>
      </c>
      <c r="L283" s="3">
        <v>0</v>
      </c>
      <c r="M283" s="3">
        <f t="shared" si="113"/>
        <v>0</v>
      </c>
      <c r="N283" s="3">
        <f t="shared" si="114"/>
        <v>0</v>
      </c>
      <c r="O283" s="265">
        <f t="shared" si="126"/>
        <v>0</v>
      </c>
      <c r="P283" s="3">
        <v>0</v>
      </c>
      <c r="Q283" s="196"/>
      <c r="R283" s="3">
        <v>0</v>
      </c>
      <c r="S283" s="3">
        <f t="shared" si="116"/>
        <v>0</v>
      </c>
      <c r="T283" s="3">
        <f t="shared" si="117"/>
        <v>0</v>
      </c>
      <c r="U283" s="3">
        <f t="shared" si="118"/>
        <v>0</v>
      </c>
      <c r="V283" s="3">
        <f t="shared" si="119"/>
        <v>0</v>
      </c>
      <c r="W283" s="3">
        <f t="shared" si="111"/>
        <v>0</v>
      </c>
      <c r="X283" s="3">
        <f t="shared" si="112"/>
        <v>0</v>
      </c>
      <c r="Y283" s="3">
        <f t="shared" si="120"/>
        <v>0</v>
      </c>
      <c r="Z283" s="2">
        <v>5</v>
      </c>
    </row>
    <row r="284" spans="1:26" hidden="1" x14ac:dyDescent="0.25">
      <c r="A284" s="2">
        <v>428</v>
      </c>
      <c r="B284" s="2" t="s">
        <v>633</v>
      </c>
      <c r="C284" s="2" t="s">
        <v>521</v>
      </c>
      <c r="D284" s="2" t="s">
        <v>14</v>
      </c>
      <c r="E284" s="2" t="s">
        <v>761</v>
      </c>
      <c r="F284" s="2" t="s">
        <v>522</v>
      </c>
      <c r="G284" s="2" t="s">
        <v>823</v>
      </c>
      <c r="H284" s="2"/>
      <c r="I284" s="51">
        <v>0</v>
      </c>
      <c r="J284" s="262">
        <v>0</v>
      </c>
      <c r="K284" s="264">
        <v>0</v>
      </c>
      <c r="L284" s="3">
        <v>0</v>
      </c>
      <c r="M284" s="3">
        <f t="shared" si="113"/>
        <v>0</v>
      </c>
      <c r="N284" s="3">
        <f t="shared" si="114"/>
        <v>0</v>
      </c>
      <c r="O284" s="265">
        <f t="shared" si="126"/>
        <v>0</v>
      </c>
      <c r="P284" s="3">
        <v>0</v>
      </c>
      <c r="Q284" s="196"/>
      <c r="R284" s="3">
        <v>0</v>
      </c>
      <c r="S284" s="3">
        <f t="shared" si="116"/>
        <v>0</v>
      </c>
      <c r="T284" s="3">
        <f t="shared" si="117"/>
        <v>0</v>
      </c>
      <c r="U284" s="3">
        <f t="shared" si="118"/>
        <v>0</v>
      </c>
      <c r="V284" s="3">
        <f t="shared" si="119"/>
        <v>0</v>
      </c>
      <c r="W284" s="3">
        <f t="shared" si="111"/>
        <v>0</v>
      </c>
      <c r="X284" s="3">
        <f t="shared" si="112"/>
        <v>0</v>
      </c>
      <c r="Y284" s="3">
        <f t="shared" si="120"/>
        <v>0</v>
      </c>
      <c r="Z284" s="2">
        <v>6</v>
      </c>
    </row>
    <row r="285" spans="1:26" hidden="1" x14ac:dyDescent="0.25">
      <c r="A285" s="2">
        <v>437</v>
      </c>
      <c r="B285" s="2" t="s">
        <v>634</v>
      </c>
      <c r="C285" s="2" t="s">
        <v>24</v>
      </c>
      <c r="D285" s="2" t="s">
        <v>14</v>
      </c>
      <c r="E285" s="2" t="s">
        <v>51</v>
      </c>
      <c r="F285" s="2" t="s">
        <v>537</v>
      </c>
      <c r="G285" s="2" t="s">
        <v>50</v>
      </c>
      <c r="H285" s="4" t="s">
        <v>54</v>
      </c>
      <c r="I285" s="51">
        <v>0</v>
      </c>
      <c r="J285" s="262">
        <v>0</v>
      </c>
      <c r="K285" s="264">
        <v>0</v>
      </c>
      <c r="L285" s="3">
        <f>899*0.6</f>
        <v>539.4</v>
      </c>
      <c r="M285" s="3">
        <f t="shared" si="113"/>
        <v>0</v>
      </c>
      <c r="N285" s="3">
        <f t="shared" si="114"/>
        <v>0</v>
      </c>
      <c r="O285" s="265">
        <f t="shared" ref="O285:O292" si="127">N285+M285+L285+1.1*K285+J285*4.3+I285*3.77</f>
        <v>539.4</v>
      </c>
      <c r="P285" s="3">
        <v>0</v>
      </c>
      <c r="Q285" s="3">
        <v>30</v>
      </c>
      <c r="R285" s="3">
        <v>0</v>
      </c>
      <c r="S285" s="3">
        <f t="shared" si="116"/>
        <v>569.4</v>
      </c>
      <c r="T285" s="3">
        <f t="shared" si="117"/>
        <v>56.94</v>
      </c>
      <c r="U285" s="3">
        <f t="shared" si="118"/>
        <v>28.47</v>
      </c>
      <c r="V285" s="3">
        <f t="shared" si="119"/>
        <v>227.76</v>
      </c>
      <c r="W285" s="3">
        <f t="shared" ref="W285:W287" si="128">SUM(T285:V285)</f>
        <v>313.16999999999996</v>
      </c>
      <c r="X285" s="3">
        <f t="shared" ref="X285:X287" si="129">SUM(S285:U285)</f>
        <v>654.80999999999995</v>
      </c>
      <c r="Y285" s="3">
        <f t="shared" si="120"/>
        <v>882.56999999999994</v>
      </c>
      <c r="Z285" s="2">
        <v>2</v>
      </c>
    </row>
    <row r="286" spans="1:26" hidden="1" x14ac:dyDescent="0.25">
      <c r="A286" s="2">
        <v>438</v>
      </c>
      <c r="B286" s="2" t="s">
        <v>635</v>
      </c>
      <c r="C286" s="2" t="s">
        <v>27</v>
      </c>
      <c r="D286" s="2" t="s">
        <v>14</v>
      </c>
      <c r="E286" s="2" t="s">
        <v>51</v>
      </c>
      <c r="F286" s="2" t="s">
        <v>537</v>
      </c>
      <c r="G286" s="2" t="s">
        <v>50</v>
      </c>
      <c r="H286" s="4" t="s">
        <v>54</v>
      </c>
      <c r="I286" s="51">
        <v>0</v>
      </c>
      <c r="J286" s="262">
        <v>0</v>
      </c>
      <c r="K286" s="264">
        <v>0</v>
      </c>
      <c r="L286" s="3">
        <f>1298*0.6</f>
        <v>778.8</v>
      </c>
      <c r="M286" s="3">
        <f t="shared" si="113"/>
        <v>0</v>
      </c>
      <c r="N286" s="3">
        <f t="shared" si="114"/>
        <v>0</v>
      </c>
      <c r="O286" s="265">
        <f t="shared" si="127"/>
        <v>778.8</v>
      </c>
      <c r="P286" s="3">
        <v>0</v>
      </c>
      <c r="Q286" s="3">
        <v>30</v>
      </c>
      <c r="R286" s="3">
        <v>0</v>
      </c>
      <c r="S286" s="3">
        <f t="shared" si="116"/>
        <v>808.8</v>
      </c>
      <c r="T286" s="3">
        <f t="shared" si="117"/>
        <v>80.88</v>
      </c>
      <c r="U286" s="3">
        <f t="shared" si="118"/>
        <v>40.44</v>
      </c>
      <c r="V286" s="3">
        <f t="shared" si="119"/>
        <v>323.52</v>
      </c>
      <c r="W286" s="3">
        <f t="shared" si="128"/>
        <v>444.84</v>
      </c>
      <c r="X286" s="3">
        <f t="shared" si="129"/>
        <v>930.11999999999989</v>
      </c>
      <c r="Y286" s="3">
        <f t="shared" si="120"/>
        <v>1253.6399999999999</v>
      </c>
      <c r="Z286" s="2">
        <v>2.5</v>
      </c>
    </row>
    <row r="287" spans="1:26" hidden="1" x14ac:dyDescent="0.25">
      <c r="A287" s="2">
        <v>440</v>
      </c>
      <c r="B287" s="2" t="s">
        <v>538</v>
      </c>
      <c r="C287" s="2" t="s">
        <v>14</v>
      </c>
      <c r="D287" s="2" t="s">
        <v>14</v>
      </c>
      <c r="E287" s="2"/>
      <c r="F287" s="2" t="s">
        <v>539</v>
      </c>
      <c r="G287" s="2" t="s">
        <v>50</v>
      </c>
      <c r="H287" s="4"/>
      <c r="I287" s="51">
        <v>0</v>
      </c>
      <c r="J287" s="262">
        <v>0</v>
      </c>
      <c r="K287" s="264">
        <v>0</v>
      </c>
      <c r="L287" s="3">
        <v>3200</v>
      </c>
      <c r="M287" s="3">
        <f t="shared" si="113"/>
        <v>0</v>
      </c>
      <c r="N287" s="3">
        <f t="shared" si="114"/>
        <v>0</v>
      </c>
      <c r="O287" s="265">
        <f t="shared" si="127"/>
        <v>3200</v>
      </c>
      <c r="P287" s="3">
        <v>0</v>
      </c>
      <c r="Q287" s="3">
        <v>0</v>
      </c>
      <c r="R287" s="3">
        <v>0</v>
      </c>
      <c r="S287" s="3">
        <f t="shared" si="116"/>
        <v>3200</v>
      </c>
      <c r="T287" s="3">
        <f t="shared" si="117"/>
        <v>320</v>
      </c>
      <c r="U287" s="3">
        <f t="shared" si="118"/>
        <v>160</v>
      </c>
      <c r="V287" s="3">
        <f t="shared" si="119"/>
        <v>1280</v>
      </c>
      <c r="W287" s="3">
        <f t="shared" si="128"/>
        <v>1760</v>
      </c>
      <c r="X287" s="3">
        <f t="shared" si="129"/>
        <v>3680</v>
      </c>
      <c r="Y287" s="3">
        <f t="shared" si="120"/>
        <v>4960</v>
      </c>
      <c r="Z287" s="2">
        <v>2</v>
      </c>
    </row>
    <row r="288" spans="1:26" hidden="1" x14ac:dyDescent="0.25">
      <c r="A288" s="2">
        <v>441</v>
      </c>
      <c r="B288" s="2" t="s">
        <v>542</v>
      </c>
      <c r="C288" s="2" t="s">
        <v>14</v>
      </c>
      <c r="D288" s="2" t="s">
        <v>545</v>
      </c>
      <c r="E288" s="2" t="s">
        <v>103</v>
      </c>
      <c r="F288" s="2" t="s">
        <v>103</v>
      </c>
      <c r="G288" s="2" t="s">
        <v>50</v>
      </c>
      <c r="H288" s="4" t="s">
        <v>54</v>
      </c>
      <c r="I288" s="51">
        <v>0</v>
      </c>
      <c r="J288" s="262">
        <v>0</v>
      </c>
      <c r="K288" s="264">
        <v>0</v>
      </c>
      <c r="L288" s="3">
        <v>332268</v>
      </c>
      <c r="M288" s="3">
        <f t="shared" si="113"/>
        <v>0</v>
      </c>
      <c r="N288" s="3">
        <f t="shared" si="114"/>
        <v>0</v>
      </c>
      <c r="O288" s="265">
        <f t="shared" si="127"/>
        <v>332268</v>
      </c>
      <c r="P288" s="3">
        <v>1400</v>
      </c>
      <c r="Q288" s="3">
        <v>0</v>
      </c>
      <c r="R288" s="3">
        <v>0</v>
      </c>
      <c r="S288" s="3">
        <f t="shared" si="116"/>
        <v>333668</v>
      </c>
      <c r="T288" s="3">
        <f t="shared" si="117"/>
        <v>33366.800000000003</v>
      </c>
      <c r="U288" s="3">
        <f t="shared" si="118"/>
        <v>16683.400000000001</v>
      </c>
      <c r="V288" s="3">
        <f t="shared" si="119"/>
        <v>133467.20000000001</v>
      </c>
      <c r="W288" s="3">
        <f t="shared" ref="W288:W290" si="130">SUM(T288:V288)</f>
        <v>183517.40000000002</v>
      </c>
      <c r="X288" s="3">
        <f t="shared" ref="X288:X290" si="131">SUM(S288:U288)</f>
        <v>383718.2</v>
      </c>
      <c r="Y288" s="3">
        <f t="shared" si="120"/>
        <v>517185.4</v>
      </c>
      <c r="Z288" s="2">
        <v>30</v>
      </c>
    </row>
    <row r="289" spans="1:26" hidden="1" x14ac:dyDescent="0.25">
      <c r="A289" s="2">
        <v>442</v>
      </c>
      <c r="B289" s="2" t="s">
        <v>543</v>
      </c>
      <c r="C289" s="2" t="s">
        <v>14</v>
      </c>
      <c r="D289" s="2" t="s">
        <v>368</v>
      </c>
      <c r="E289" s="2" t="s">
        <v>103</v>
      </c>
      <c r="F289" s="2" t="s">
        <v>103</v>
      </c>
      <c r="G289" s="2" t="s">
        <v>50</v>
      </c>
      <c r="H289" s="4" t="s">
        <v>54</v>
      </c>
      <c r="I289" s="51">
        <v>0</v>
      </c>
      <c r="J289" s="262">
        <v>0</v>
      </c>
      <c r="K289" s="264">
        <v>0</v>
      </c>
      <c r="L289" s="3">
        <v>222448</v>
      </c>
      <c r="M289" s="3">
        <f t="shared" si="113"/>
        <v>0</v>
      </c>
      <c r="N289" s="3">
        <f t="shared" si="114"/>
        <v>0</v>
      </c>
      <c r="O289" s="265">
        <f t="shared" si="127"/>
        <v>222448</v>
      </c>
      <c r="P289" s="3">
        <v>1400</v>
      </c>
      <c r="Q289" s="3">
        <v>0</v>
      </c>
      <c r="R289" s="3">
        <v>0</v>
      </c>
      <c r="S289" s="3">
        <f t="shared" si="116"/>
        <v>223848</v>
      </c>
      <c r="T289" s="3">
        <f t="shared" si="117"/>
        <v>22384.800000000003</v>
      </c>
      <c r="U289" s="3">
        <f t="shared" si="118"/>
        <v>11192.400000000001</v>
      </c>
      <c r="V289" s="3">
        <f t="shared" si="119"/>
        <v>89539.200000000012</v>
      </c>
      <c r="W289" s="3">
        <f t="shared" si="130"/>
        <v>123116.40000000002</v>
      </c>
      <c r="X289" s="3">
        <f t="shared" si="131"/>
        <v>257425.19999999998</v>
      </c>
      <c r="Y289" s="3">
        <f t="shared" si="120"/>
        <v>346964.4</v>
      </c>
      <c r="Z289" s="2">
        <v>30</v>
      </c>
    </row>
    <row r="290" spans="1:26" hidden="1" x14ac:dyDescent="0.25">
      <c r="A290" s="2">
        <v>443</v>
      </c>
      <c r="B290" s="2" t="s">
        <v>544</v>
      </c>
      <c r="C290" s="2" t="s">
        <v>14</v>
      </c>
      <c r="D290" s="2" t="s">
        <v>541</v>
      </c>
      <c r="E290" s="2" t="s">
        <v>103</v>
      </c>
      <c r="F290" s="2" t="s">
        <v>103</v>
      </c>
      <c r="G290" s="2" t="s">
        <v>50</v>
      </c>
      <c r="H290" s="4" t="s">
        <v>54</v>
      </c>
      <c r="I290" s="51">
        <v>0</v>
      </c>
      <c r="J290" s="262">
        <v>0</v>
      </c>
      <c r="K290" s="264">
        <v>0</v>
      </c>
      <c r="L290" s="3">
        <v>203721</v>
      </c>
      <c r="M290" s="3">
        <f t="shared" si="113"/>
        <v>0</v>
      </c>
      <c r="N290" s="3">
        <f t="shared" si="114"/>
        <v>0</v>
      </c>
      <c r="O290" s="265">
        <f t="shared" si="127"/>
        <v>203721</v>
      </c>
      <c r="P290" s="3">
        <v>1400</v>
      </c>
      <c r="Q290" s="3">
        <v>0</v>
      </c>
      <c r="R290" s="3">
        <v>0</v>
      </c>
      <c r="S290" s="3">
        <f t="shared" si="116"/>
        <v>205121</v>
      </c>
      <c r="T290" s="3">
        <f t="shared" si="117"/>
        <v>20512.100000000002</v>
      </c>
      <c r="U290" s="3">
        <f t="shared" si="118"/>
        <v>10256.050000000001</v>
      </c>
      <c r="V290" s="3">
        <f t="shared" si="119"/>
        <v>82048.400000000009</v>
      </c>
      <c r="W290" s="3">
        <f t="shared" si="130"/>
        <v>112816.55000000002</v>
      </c>
      <c r="X290" s="3">
        <f t="shared" si="131"/>
        <v>235889.15</v>
      </c>
      <c r="Y290" s="3">
        <f t="shared" si="120"/>
        <v>317937.55000000005</v>
      </c>
      <c r="Z290" s="2">
        <v>30</v>
      </c>
    </row>
    <row r="291" spans="1:26" hidden="1" x14ac:dyDescent="0.25">
      <c r="A291" s="2">
        <v>444</v>
      </c>
      <c r="B291" s="2" t="s">
        <v>650</v>
      </c>
      <c r="C291" s="2" t="s">
        <v>26</v>
      </c>
      <c r="D291" s="2" t="s">
        <v>14</v>
      </c>
      <c r="E291" s="2" t="s">
        <v>549</v>
      </c>
      <c r="F291" s="2" t="s">
        <v>549</v>
      </c>
      <c r="G291" s="2" t="s">
        <v>823</v>
      </c>
      <c r="H291" s="4" t="s">
        <v>54</v>
      </c>
      <c r="I291" s="51">
        <v>120</v>
      </c>
      <c r="J291" s="262">
        <v>0</v>
      </c>
      <c r="K291" s="264">
        <v>0</v>
      </c>
      <c r="L291" s="3">
        <v>0</v>
      </c>
      <c r="M291" s="3">
        <f t="shared" si="113"/>
        <v>67.86</v>
      </c>
      <c r="N291" s="3">
        <f t="shared" si="114"/>
        <v>90.48</v>
      </c>
      <c r="O291" s="265">
        <f t="shared" si="127"/>
        <v>610.74</v>
      </c>
      <c r="P291" s="3">
        <v>0</v>
      </c>
      <c r="Q291" s="3">
        <f>0.1*L291</f>
        <v>0</v>
      </c>
      <c r="R291" s="3">
        <v>0</v>
      </c>
      <c r="S291" s="3">
        <f t="shared" si="116"/>
        <v>610.74</v>
      </c>
      <c r="T291" s="3">
        <f t="shared" si="117"/>
        <v>61.074000000000005</v>
      </c>
      <c r="U291" s="3">
        <f t="shared" si="118"/>
        <v>30.537000000000003</v>
      </c>
      <c r="V291" s="3">
        <f t="shared" si="119"/>
        <v>244.29600000000002</v>
      </c>
      <c r="W291" s="3">
        <f t="shared" ref="W291:W292" si="132">SUM(T291:V291)</f>
        <v>335.90700000000004</v>
      </c>
      <c r="X291" s="3">
        <f t="shared" ref="X291:X292" si="133">SUM(S291:U291)</f>
        <v>702.351</v>
      </c>
      <c r="Y291" s="3">
        <f t="shared" si="120"/>
        <v>946.64700000000005</v>
      </c>
      <c r="Z291" s="2">
        <v>2.5</v>
      </c>
    </row>
    <row r="292" spans="1:26" hidden="1" x14ac:dyDescent="0.25">
      <c r="A292" s="2">
        <v>445</v>
      </c>
      <c r="B292" s="2" t="s">
        <v>653</v>
      </c>
      <c r="C292" s="2" t="s">
        <v>14</v>
      </c>
      <c r="D292" s="2" t="s">
        <v>14</v>
      </c>
      <c r="E292" s="2" t="s">
        <v>48</v>
      </c>
      <c r="F292" s="2" t="s">
        <v>48</v>
      </c>
      <c r="G292" s="2" t="s">
        <v>824</v>
      </c>
      <c r="H292" s="4" t="s">
        <v>54</v>
      </c>
      <c r="I292" s="51">
        <v>0</v>
      </c>
      <c r="J292" s="262">
        <f>(1265+600)*0.65</f>
        <v>1212.25</v>
      </c>
      <c r="K292" s="264">
        <v>0</v>
      </c>
      <c r="L292" s="3">
        <v>0</v>
      </c>
      <c r="M292" s="3">
        <f t="shared" si="113"/>
        <v>781.90125</v>
      </c>
      <c r="N292" s="3">
        <f t="shared" si="114"/>
        <v>1042.5350000000001</v>
      </c>
      <c r="O292" s="265">
        <f t="shared" si="127"/>
        <v>7037.1112499999999</v>
      </c>
      <c r="P292" s="3">
        <v>0</v>
      </c>
      <c r="Q292" s="3">
        <v>0</v>
      </c>
      <c r="R292" s="3">
        <v>0</v>
      </c>
      <c r="S292" s="3">
        <f t="shared" si="116"/>
        <v>7037.1112499999999</v>
      </c>
      <c r="T292" s="3">
        <f t="shared" si="117"/>
        <v>703.71112500000004</v>
      </c>
      <c r="U292" s="3">
        <f t="shared" si="118"/>
        <v>351.85556250000002</v>
      </c>
      <c r="V292" s="3">
        <f t="shared" si="119"/>
        <v>2814.8445000000002</v>
      </c>
      <c r="W292" s="3">
        <f t="shared" si="132"/>
        <v>3870.4111875000003</v>
      </c>
      <c r="X292" s="3">
        <f t="shared" si="133"/>
        <v>8092.6779374999996</v>
      </c>
      <c r="Y292" s="3">
        <f t="shared" si="120"/>
        <v>10907.5224375</v>
      </c>
      <c r="Z292" s="2">
        <v>3</v>
      </c>
    </row>
    <row r="293" spans="1:26" hidden="1" x14ac:dyDescent="0.25">
      <c r="A293" s="2">
        <v>455</v>
      </c>
      <c r="B293" s="2" t="s">
        <v>562</v>
      </c>
      <c r="C293" s="2" t="s">
        <v>14</v>
      </c>
      <c r="D293" s="2" t="s">
        <v>567</v>
      </c>
      <c r="E293" s="2" t="s">
        <v>102</v>
      </c>
      <c r="F293" s="2" t="s">
        <v>102</v>
      </c>
      <c r="G293" s="2" t="s">
        <v>50</v>
      </c>
      <c r="H293" s="4" t="s">
        <v>54</v>
      </c>
      <c r="I293" s="51">
        <v>0</v>
      </c>
      <c r="J293" s="262">
        <v>0</v>
      </c>
      <c r="K293" s="264">
        <v>0</v>
      </c>
      <c r="L293" s="3">
        <v>35000</v>
      </c>
      <c r="M293" s="3">
        <f t="shared" si="113"/>
        <v>0</v>
      </c>
      <c r="N293" s="3">
        <f t="shared" si="114"/>
        <v>0</v>
      </c>
      <c r="O293" s="265">
        <f t="shared" ref="O293:O302" si="134">N293+M293+L293+1.1*K293+J293*4.3+I293*3.77</f>
        <v>35000</v>
      </c>
      <c r="P293" s="3">
        <v>0</v>
      </c>
      <c r="Q293" s="3">
        <v>0</v>
      </c>
      <c r="R293" s="3">
        <v>0</v>
      </c>
      <c r="S293" s="3">
        <f t="shared" si="116"/>
        <v>35000</v>
      </c>
      <c r="T293" s="3">
        <f t="shared" si="117"/>
        <v>3500</v>
      </c>
      <c r="U293" s="3">
        <f t="shared" si="118"/>
        <v>1750</v>
      </c>
      <c r="V293" s="3">
        <f t="shared" si="119"/>
        <v>14000</v>
      </c>
      <c r="W293" s="3">
        <f t="shared" ref="W293:W297" si="135">SUM(T293:V293)</f>
        <v>19250</v>
      </c>
      <c r="X293" s="3">
        <f t="shared" ref="X293:X297" si="136">SUM(S293:U293)</f>
        <v>40250</v>
      </c>
      <c r="Y293" s="3">
        <f t="shared" si="120"/>
        <v>54250</v>
      </c>
      <c r="Z293" s="2">
        <v>5</v>
      </c>
    </row>
    <row r="294" spans="1:26" hidden="1" x14ac:dyDescent="0.25">
      <c r="A294" s="2">
        <v>456</v>
      </c>
      <c r="B294" s="2" t="s">
        <v>563</v>
      </c>
      <c r="C294" s="2" t="s">
        <v>14</v>
      </c>
      <c r="D294" s="2" t="s">
        <v>568</v>
      </c>
      <c r="E294" s="2" t="s">
        <v>102</v>
      </c>
      <c r="F294" s="2" t="s">
        <v>102</v>
      </c>
      <c r="G294" s="2" t="s">
        <v>50</v>
      </c>
      <c r="H294" s="4" t="s">
        <v>54</v>
      </c>
      <c r="I294" s="51">
        <v>0</v>
      </c>
      <c r="J294" s="262">
        <v>0</v>
      </c>
      <c r="K294" s="264">
        <v>0</v>
      </c>
      <c r="L294" s="3">
        <v>40000</v>
      </c>
      <c r="M294" s="3">
        <f t="shared" si="113"/>
        <v>0</v>
      </c>
      <c r="N294" s="3">
        <f t="shared" si="114"/>
        <v>0</v>
      </c>
      <c r="O294" s="265">
        <f t="shared" si="134"/>
        <v>40000</v>
      </c>
      <c r="P294" s="3">
        <v>0</v>
      </c>
      <c r="Q294" s="3">
        <v>0</v>
      </c>
      <c r="R294" s="3">
        <v>0</v>
      </c>
      <c r="S294" s="3">
        <f t="shared" si="116"/>
        <v>40000</v>
      </c>
      <c r="T294" s="3">
        <f t="shared" si="117"/>
        <v>4000</v>
      </c>
      <c r="U294" s="3">
        <f t="shared" si="118"/>
        <v>2000</v>
      </c>
      <c r="V294" s="3">
        <f t="shared" si="119"/>
        <v>16000</v>
      </c>
      <c r="W294" s="3">
        <f t="shared" si="135"/>
        <v>22000</v>
      </c>
      <c r="X294" s="3">
        <f t="shared" si="136"/>
        <v>46000</v>
      </c>
      <c r="Y294" s="3">
        <f t="shared" si="120"/>
        <v>62000</v>
      </c>
      <c r="Z294" s="2">
        <v>5</v>
      </c>
    </row>
    <row r="295" spans="1:26" hidden="1" x14ac:dyDescent="0.25">
      <c r="A295" s="2">
        <v>457</v>
      </c>
      <c r="B295" s="2" t="s">
        <v>564</v>
      </c>
      <c r="C295" s="2" t="s">
        <v>14</v>
      </c>
      <c r="D295" s="2" t="s">
        <v>569</v>
      </c>
      <c r="E295" s="2" t="s">
        <v>102</v>
      </c>
      <c r="F295" s="2" t="s">
        <v>102</v>
      </c>
      <c r="G295" s="2" t="s">
        <v>50</v>
      </c>
      <c r="H295" s="4" t="s">
        <v>54</v>
      </c>
      <c r="I295" s="51">
        <v>0</v>
      </c>
      <c r="J295" s="262">
        <v>0</v>
      </c>
      <c r="K295" s="264">
        <v>0</v>
      </c>
      <c r="L295" s="3">
        <v>42950</v>
      </c>
      <c r="M295" s="3">
        <f t="shared" si="113"/>
        <v>0</v>
      </c>
      <c r="N295" s="3">
        <f t="shared" si="114"/>
        <v>0</v>
      </c>
      <c r="O295" s="265">
        <f t="shared" si="134"/>
        <v>42950</v>
      </c>
      <c r="P295" s="3">
        <v>0</v>
      </c>
      <c r="Q295" s="3">
        <v>0</v>
      </c>
      <c r="R295" s="3">
        <v>0</v>
      </c>
      <c r="S295" s="3">
        <f t="shared" ref="S295:S327" si="137">SUM(O295:R295)</f>
        <v>42950</v>
      </c>
      <c r="T295" s="3">
        <f t="shared" ref="T295:T327" si="138">0.1*S295</f>
        <v>4295</v>
      </c>
      <c r="U295" s="3">
        <f t="shared" ref="U295:U327" si="139">0.05*S295</f>
        <v>2147.5</v>
      </c>
      <c r="V295" s="3">
        <f t="shared" ref="V295:V327" si="140">0.4*S295</f>
        <v>17180</v>
      </c>
      <c r="W295" s="3">
        <f t="shared" si="135"/>
        <v>23622.5</v>
      </c>
      <c r="X295" s="3">
        <f t="shared" si="136"/>
        <v>49392.5</v>
      </c>
      <c r="Y295" s="3">
        <f t="shared" si="120"/>
        <v>66572.5</v>
      </c>
      <c r="Z295" s="2">
        <v>5</v>
      </c>
    </row>
    <row r="296" spans="1:26" hidden="1" x14ac:dyDescent="0.25">
      <c r="A296" s="2">
        <v>458</v>
      </c>
      <c r="B296" s="2" t="s">
        <v>565</v>
      </c>
      <c r="C296" s="2" t="s">
        <v>14</v>
      </c>
      <c r="D296" s="2" t="s">
        <v>570</v>
      </c>
      <c r="E296" s="2" t="s">
        <v>102</v>
      </c>
      <c r="F296" s="2" t="s">
        <v>102</v>
      </c>
      <c r="G296" s="2" t="s">
        <v>50</v>
      </c>
      <c r="H296" s="4" t="s">
        <v>54</v>
      </c>
      <c r="I296" s="51">
        <v>0</v>
      </c>
      <c r="J296" s="262">
        <v>0</v>
      </c>
      <c r="K296" s="264">
        <v>0</v>
      </c>
      <c r="L296" s="3">
        <v>47150</v>
      </c>
      <c r="M296" s="3">
        <f t="shared" si="113"/>
        <v>0</v>
      </c>
      <c r="N296" s="3">
        <f t="shared" si="114"/>
        <v>0</v>
      </c>
      <c r="O296" s="265">
        <f t="shared" si="134"/>
        <v>47150</v>
      </c>
      <c r="P296" s="3">
        <v>0</v>
      </c>
      <c r="Q296" s="3">
        <v>0</v>
      </c>
      <c r="R296" s="3">
        <v>0</v>
      </c>
      <c r="S296" s="3">
        <f t="shared" si="137"/>
        <v>47150</v>
      </c>
      <c r="T296" s="3">
        <f t="shared" si="138"/>
        <v>4715</v>
      </c>
      <c r="U296" s="3">
        <f t="shared" si="139"/>
        <v>2357.5</v>
      </c>
      <c r="V296" s="3">
        <f t="shared" si="140"/>
        <v>18860</v>
      </c>
      <c r="W296" s="3">
        <f t="shared" si="135"/>
        <v>25932.5</v>
      </c>
      <c r="X296" s="3">
        <f t="shared" si="136"/>
        <v>54222.5</v>
      </c>
      <c r="Y296" s="3">
        <f t="shared" si="120"/>
        <v>73082.5</v>
      </c>
      <c r="Z296" s="2">
        <v>5</v>
      </c>
    </row>
    <row r="297" spans="1:26" hidden="1" x14ac:dyDescent="0.25">
      <c r="A297" s="2">
        <v>459</v>
      </c>
      <c r="B297" s="2" t="s">
        <v>566</v>
      </c>
      <c r="C297" s="2" t="s">
        <v>14</v>
      </c>
      <c r="D297" s="2" t="s">
        <v>571</v>
      </c>
      <c r="E297" s="2" t="s">
        <v>102</v>
      </c>
      <c r="F297" s="2" t="s">
        <v>102</v>
      </c>
      <c r="G297" s="2" t="s">
        <v>50</v>
      </c>
      <c r="H297" s="4" t="s">
        <v>54</v>
      </c>
      <c r="I297" s="51">
        <v>0</v>
      </c>
      <c r="J297" s="262">
        <v>0</v>
      </c>
      <c r="K297" s="264">
        <v>0</v>
      </c>
      <c r="L297" s="3">
        <v>48750</v>
      </c>
      <c r="M297" s="3">
        <f t="shared" si="113"/>
        <v>0</v>
      </c>
      <c r="N297" s="3">
        <f t="shared" si="114"/>
        <v>0</v>
      </c>
      <c r="O297" s="265">
        <f t="shared" si="134"/>
        <v>48750</v>
      </c>
      <c r="P297" s="3">
        <v>0</v>
      </c>
      <c r="Q297" s="3">
        <v>0</v>
      </c>
      <c r="R297" s="3">
        <v>0</v>
      </c>
      <c r="S297" s="3">
        <f t="shared" si="137"/>
        <v>48750</v>
      </c>
      <c r="T297" s="3">
        <f t="shared" si="138"/>
        <v>4875</v>
      </c>
      <c r="U297" s="3">
        <f t="shared" si="139"/>
        <v>2437.5</v>
      </c>
      <c r="V297" s="3">
        <f t="shared" si="140"/>
        <v>19500</v>
      </c>
      <c r="W297" s="3">
        <f t="shared" si="135"/>
        <v>26812.5</v>
      </c>
      <c r="X297" s="3">
        <f t="shared" si="136"/>
        <v>56062.5</v>
      </c>
      <c r="Y297" s="3">
        <f t="shared" ref="Y297:Y341" si="141">(W297+S297)*(1-$AB$1)</f>
        <v>75562.5</v>
      </c>
      <c r="Z297" s="2">
        <v>5</v>
      </c>
    </row>
    <row r="298" spans="1:26" hidden="1" x14ac:dyDescent="0.25">
      <c r="A298" s="2">
        <v>464</v>
      </c>
      <c r="B298" s="2" t="s">
        <v>671</v>
      </c>
      <c r="C298" s="2" t="s">
        <v>26</v>
      </c>
      <c r="D298" s="2" t="s">
        <v>14</v>
      </c>
      <c r="E298" s="2" t="s">
        <v>12</v>
      </c>
      <c r="F298" s="2" t="s">
        <v>442</v>
      </c>
      <c r="G298" s="2" t="s">
        <v>50</v>
      </c>
      <c r="H298" s="4" t="s">
        <v>54</v>
      </c>
      <c r="I298" s="51">
        <v>0</v>
      </c>
      <c r="J298" s="262">
        <v>0</v>
      </c>
      <c r="K298" s="264">
        <v>0</v>
      </c>
      <c r="L298" s="2">
        <v>2250</v>
      </c>
      <c r="M298" s="3">
        <f t="shared" ref="M298:M327" si="142">0.15*(I298*3.77+J298*4.3+K298*1.1)</f>
        <v>0</v>
      </c>
      <c r="N298" s="3">
        <f t="shared" ref="N298:N327" si="143">0.2*(I298*3.77+J298*4.3+K298*1.1)</f>
        <v>0</v>
      </c>
      <c r="O298" s="265">
        <f t="shared" si="134"/>
        <v>2250</v>
      </c>
      <c r="P298" s="222">
        <v>0</v>
      </c>
      <c r="Q298" s="3"/>
      <c r="R298" s="3">
        <v>0</v>
      </c>
      <c r="S298" s="3">
        <f t="shared" si="137"/>
        <v>2250</v>
      </c>
      <c r="T298" s="3">
        <f t="shared" si="138"/>
        <v>225</v>
      </c>
      <c r="U298" s="3">
        <f t="shared" si="139"/>
        <v>112.5</v>
      </c>
      <c r="V298" s="3">
        <f t="shared" si="140"/>
        <v>900</v>
      </c>
      <c r="W298" s="3">
        <f t="shared" ref="W298:W300" si="144">SUM(T298:V298)</f>
        <v>1237.5</v>
      </c>
      <c r="X298" s="3">
        <f t="shared" ref="X298" si="145">SUM(S298:U298)</f>
        <v>2587.5</v>
      </c>
      <c r="Y298" s="3">
        <f t="shared" si="141"/>
        <v>3487.5</v>
      </c>
      <c r="Z298" s="2">
        <v>2.5</v>
      </c>
    </row>
    <row r="299" spans="1:26" hidden="1" x14ac:dyDescent="0.25">
      <c r="A299" s="2">
        <v>465</v>
      </c>
      <c r="B299" s="2" t="s">
        <v>680</v>
      </c>
      <c r="C299" s="2" t="s">
        <v>14</v>
      </c>
      <c r="D299" s="2" t="s">
        <v>459</v>
      </c>
      <c r="E299" s="2" t="s">
        <v>102</v>
      </c>
      <c r="F299" s="2" t="s">
        <v>102</v>
      </c>
      <c r="G299" s="2" t="s">
        <v>50</v>
      </c>
      <c r="H299" s="4" t="s">
        <v>54</v>
      </c>
      <c r="I299" s="51">
        <v>0</v>
      </c>
      <c r="J299" s="262">
        <v>0</v>
      </c>
      <c r="K299" s="264">
        <v>0</v>
      </c>
      <c r="L299" s="3">
        <v>10500</v>
      </c>
      <c r="M299" s="3">
        <f t="shared" si="142"/>
        <v>0</v>
      </c>
      <c r="N299" s="3">
        <f t="shared" si="143"/>
        <v>0</v>
      </c>
      <c r="O299" s="265">
        <f t="shared" si="134"/>
        <v>10500</v>
      </c>
      <c r="P299" s="3">
        <v>0</v>
      </c>
      <c r="Q299" s="3">
        <v>0</v>
      </c>
      <c r="R299" s="3">
        <v>0</v>
      </c>
      <c r="S299" s="3">
        <f t="shared" si="137"/>
        <v>10500</v>
      </c>
      <c r="T299" s="3">
        <f t="shared" si="138"/>
        <v>1050</v>
      </c>
      <c r="U299" s="3">
        <f t="shared" si="139"/>
        <v>525</v>
      </c>
      <c r="V299" s="3">
        <f t="shared" si="140"/>
        <v>4200</v>
      </c>
      <c r="W299" s="3">
        <f t="shared" si="144"/>
        <v>5775</v>
      </c>
      <c r="X299" s="3">
        <f t="shared" ref="X299:X300" si="146">SUM(S299:U299)</f>
        <v>12075</v>
      </c>
      <c r="Y299" s="3">
        <f t="shared" si="141"/>
        <v>16275</v>
      </c>
      <c r="Z299" s="2">
        <v>5</v>
      </c>
    </row>
    <row r="300" spans="1:26" hidden="1" x14ac:dyDescent="0.25">
      <c r="A300" s="2">
        <v>466</v>
      </c>
      <c r="B300" s="2" t="s">
        <v>681</v>
      </c>
      <c r="C300" s="2" t="s">
        <v>14</v>
      </c>
      <c r="D300" s="2" t="s">
        <v>69</v>
      </c>
      <c r="E300" s="2" t="s">
        <v>102</v>
      </c>
      <c r="F300" s="2" t="s">
        <v>102</v>
      </c>
      <c r="G300" s="2" t="s">
        <v>50</v>
      </c>
      <c r="H300" s="4" t="s">
        <v>54</v>
      </c>
      <c r="I300" s="51">
        <v>0</v>
      </c>
      <c r="J300" s="262">
        <v>0</v>
      </c>
      <c r="K300" s="264">
        <v>0</v>
      </c>
      <c r="L300" s="3">
        <v>13500</v>
      </c>
      <c r="M300" s="3">
        <f t="shared" si="142"/>
        <v>0</v>
      </c>
      <c r="N300" s="3">
        <f t="shared" si="143"/>
        <v>0</v>
      </c>
      <c r="O300" s="265">
        <f t="shared" si="134"/>
        <v>13500</v>
      </c>
      <c r="P300" s="3">
        <v>0</v>
      </c>
      <c r="Q300" s="3">
        <v>0</v>
      </c>
      <c r="R300" s="3">
        <v>0</v>
      </c>
      <c r="S300" s="3">
        <f t="shared" si="137"/>
        <v>13500</v>
      </c>
      <c r="T300" s="3">
        <f t="shared" si="138"/>
        <v>1350</v>
      </c>
      <c r="U300" s="3">
        <f t="shared" si="139"/>
        <v>675</v>
      </c>
      <c r="V300" s="3">
        <f t="shared" si="140"/>
        <v>5400</v>
      </c>
      <c r="W300" s="3">
        <f t="shared" si="144"/>
        <v>7425</v>
      </c>
      <c r="X300" s="3">
        <f t="shared" si="146"/>
        <v>15525</v>
      </c>
      <c r="Y300" s="3">
        <f t="shared" si="141"/>
        <v>20925</v>
      </c>
      <c r="Z300" s="2">
        <v>5</v>
      </c>
    </row>
    <row r="301" spans="1:26" hidden="1" x14ac:dyDescent="0.25">
      <c r="A301" s="2">
        <v>479</v>
      </c>
      <c r="B301" s="2" t="s">
        <v>695</v>
      </c>
      <c r="C301" s="2" t="s">
        <v>14</v>
      </c>
      <c r="D301" s="2" t="s">
        <v>14</v>
      </c>
      <c r="E301" s="2" t="s">
        <v>12</v>
      </c>
      <c r="F301" s="2" t="s">
        <v>442</v>
      </c>
      <c r="G301" s="2" t="s">
        <v>50</v>
      </c>
      <c r="H301" s="4" t="s">
        <v>54</v>
      </c>
      <c r="I301" s="51">
        <v>0</v>
      </c>
      <c r="J301" s="262">
        <v>0</v>
      </c>
      <c r="K301" s="264">
        <v>0</v>
      </c>
      <c r="L301" s="3">
        <v>17000</v>
      </c>
      <c r="M301" s="3">
        <f t="shared" si="142"/>
        <v>0</v>
      </c>
      <c r="N301" s="3">
        <f t="shared" si="143"/>
        <v>0</v>
      </c>
      <c r="O301" s="265">
        <f t="shared" si="134"/>
        <v>17000</v>
      </c>
      <c r="P301" s="3">
        <v>0</v>
      </c>
      <c r="Q301" s="3">
        <v>0</v>
      </c>
      <c r="R301" s="3">
        <v>0</v>
      </c>
      <c r="S301" s="3">
        <f t="shared" si="137"/>
        <v>17000</v>
      </c>
      <c r="T301" s="3">
        <f t="shared" si="138"/>
        <v>1700</v>
      </c>
      <c r="U301" s="3">
        <f t="shared" si="139"/>
        <v>850</v>
      </c>
      <c r="V301" s="3">
        <f t="shared" si="140"/>
        <v>6800</v>
      </c>
      <c r="W301" s="3">
        <f t="shared" ref="W301" si="147">SUM(T301:V301)</f>
        <v>9350</v>
      </c>
      <c r="X301" s="3">
        <f t="shared" ref="X301" si="148">SUM(S301:U301)</f>
        <v>19550</v>
      </c>
      <c r="Y301" s="3">
        <f t="shared" si="141"/>
        <v>26350</v>
      </c>
      <c r="Z301" s="2">
        <v>5</v>
      </c>
    </row>
    <row r="302" spans="1:26" hidden="1" x14ac:dyDescent="0.25">
      <c r="A302" s="2"/>
      <c r="B302" s="2" t="s">
        <v>698</v>
      </c>
      <c r="C302" s="2" t="s">
        <v>14</v>
      </c>
      <c r="D302" s="2" t="s">
        <v>14</v>
      </c>
      <c r="E302" s="2" t="s">
        <v>761</v>
      </c>
      <c r="F302" s="2" t="s">
        <v>697</v>
      </c>
      <c r="G302" s="2" t="s">
        <v>823</v>
      </c>
      <c r="H302" s="4"/>
      <c r="I302" s="261">
        <v>225</v>
      </c>
      <c r="J302" s="262">
        <v>0</v>
      </c>
      <c r="K302" s="264">
        <v>0</v>
      </c>
      <c r="L302" s="211">
        <f>275+75</f>
        <v>350</v>
      </c>
      <c r="M302" s="3">
        <f t="shared" si="142"/>
        <v>127.2375</v>
      </c>
      <c r="N302" s="3">
        <f t="shared" si="143"/>
        <v>169.65</v>
      </c>
      <c r="O302" s="265">
        <f t="shared" si="134"/>
        <v>1495.1375</v>
      </c>
      <c r="P302" s="3">
        <v>0</v>
      </c>
      <c r="Q302" s="3">
        <v>0</v>
      </c>
      <c r="R302" s="3">
        <v>0</v>
      </c>
      <c r="S302" s="3">
        <f t="shared" si="137"/>
        <v>1495.1375</v>
      </c>
      <c r="T302" s="3">
        <f t="shared" si="138"/>
        <v>149.51375000000002</v>
      </c>
      <c r="U302" s="3">
        <f t="shared" si="139"/>
        <v>74.756875000000008</v>
      </c>
      <c r="V302" s="3">
        <f t="shared" si="140"/>
        <v>598.05500000000006</v>
      </c>
      <c r="W302" s="3">
        <f t="shared" ref="W302:W305" si="149">SUM(T302:V302)</f>
        <v>822.32562500000006</v>
      </c>
      <c r="X302" s="3">
        <f t="shared" ref="X302:X305" si="150">SUM(S302:U302)</f>
        <v>1719.4081250000002</v>
      </c>
      <c r="Y302" s="3">
        <f t="shared" si="141"/>
        <v>2317.4631250000002</v>
      </c>
      <c r="Z302" s="2">
        <v>3</v>
      </c>
    </row>
    <row r="303" spans="1:26" hidden="1" x14ac:dyDescent="0.25">
      <c r="A303" s="2"/>
      <c r="B303" s="2" t="s">
        <v>801</v>
      </c>
      <c r="C303" s="2" t="s">
        <v>14</v>
      </c>
      <c r="D303" s="2" t="s">
        <v>14</v>
      </c>
      <c r="E303" s="2" t="s">
        <v>36</v>
      </c>
      <c r="F303" s="2" t="s">
        <v>708</v>
      </c>
      <c r="G303" s="2" t="s">
        <v>50</v>
      </c>
      <c r="H303" s="4" t="s">
        <v>54</v>
      </c>
      <c r="I303" s="51">
        <v>0</v>
      </c>
      <c r="J303" s="262">
        <v>0</v>
      </c>
      <c r="K303" s="264">
        <v>0</v>
      </c>
      <c r="L303" s="3">
        <v>13900</v>
      </c>
      <c r="M303" s="3">
        <f t="shared" si="142"/>
        <v>0</v>
      </c>
      <c r="N303" s="3">
        <f t="shared" si="143"/>
        <v>0</v>
      </c>
      <c r="O303" s="265">
        <f t="shared" ref="O303:O306" si="151">N303+M303+L303+1.1*K303+J303*4.3+I303*3.77</f>
        <v>13900</v>
      </c>
      <c r="P303" s="3">
        <v>0</v>
      </c>
      <c r="Q303" s="3">
        <v>0</v>
      </c>
      <c r="R303" s="3">
        <v>0</v>
      </c>
      <c r="S303" s="3">
        <f t="shared" si="137"/>
        <v>13900</v>
      </c>
      <c r="T303" s="3">
        <f t="shared" si="138"/>
        <v>1390</v>
      </c>
      <c r="U303" s="3">
        <f t="shared" si="139"/>
        <v>695</v>
      </c>
      <c r="V303" s="3">
        <f t="shared" si="140"/>
        <v>5560</v>
      </c>
      <c r="W303" s="3">
        <f t="shared" si="149"/>
        <v>7645</v>
      </c>
      <c r="X303" s="3">
        <f t="shared" si="150"/>
        <v>15985</v>
      </c>
      <c r="Y303" s="3">
        <f t="shared" si="141"/>
        <v>21545</v>
      </c>
      <c r="Z303" s="2">
        <v>10</v>
      </c>
    </row>
    <row r="304" spans="1:26" hidden="1" x14ac:dyDescent="0.25">
      <c r="A304" s="2"/>
      <c r="B304" s="2" t="s">
        <v>712</v>
      </c>
      <c r="C304" s="2" t="s">
        <v>14</v>
      </c>
      <c r="D304" s="2" t="s">
        <v>14</v>
      </c>
      <c r="E304" s="2" t="s">
        <v>36</v>
      </c>
      <c r="F304" s="2" t="s">
        <v>709</v>
      </c>
      <c r="G304" s="2" t="s">
        <v>50</v>
      </c>
      <c r="H304" s="4" t="s">
        <v>54</v>
      </c>
      <c r="I304" s="51">
        <v>0</v>
      </c>
      <c r="J304" s="262">
        <v>0</v>
      </c>
      <c r="K304" s="264">
        <v>0</v>
      </c>
      <c r="L304" s="3">
        <f>6000+1000</f>
        <v>7000</v>
      </c>
      <c r="M304" s="3">
        <f t="shared" si="142"/>
        <v>0</v>
      </c>
      <c r="N304" s="3">
        <f t="shared" si="143"/>
        <v>0</v>
      </c>
      <c r="O304" s="265">
        <f t="shared" si="151"/>
        <v>7000</v>
      </c>
      <c r="P304" s="3">
        <v>0</v>
      </c>
      <c r="Q304" s="3">
        <v>0</v>
      </c>
      <c r="R304" s="3">
        <v>0</v>
      </c>
      <c r="S304" s="3">
        <f t="shared" si="137"/>
        <v>7000</v>
      </c>
      <c r="T304" s="3">
        <f t="shared" si="138"/>
        <v>700</v>
      </c>
      <c r="U304" s="3">
        <f t="shared" si="139"/>
        <v>350</v>
      </c>
      <c r="V304" s="3">
        <f t="shared" si="140"/>
        <v>2800</v>
      </c>
      <c r="W304" s="3">
        <f t="shared" si="149"/>
        <v>3850</v>
      </c>
      <c r="X304" s="3">
        <f t="shared" si="150"/>
        <v>8050</v>
      </c>
      <c r="Y304" s="3">
        <f t="shared" si="141"/>
        <v>10850</v>
      </c>
      <c r="Z304" s="2">
        <v>5</v>
      </c>
    </row>
    <row r="305" spans="1:26" hidden="1" x14ac:dyDescent="0.25">
      <c r="A305" s="2"/>
      <c r="B305" s="2" t="s">
        <v>710</v>
      </c>
      <c r="C305" s="2" t="s">
        <v>14</v>
      </c>
      <c r="D305" s="2" t="s">
        <v>14</v>
      </c>
      <c r="E305" s="2" t="s">
        <v>36</v>
      </c>
      <c r="F305" s="2" t="s">
        <v>20</v>
      </c>
      <c r="G305" s="2" t="s">
        <v>50</v>
      </c>
      <c r="H305" s="4" t="s">
        <v>54</v>
      </c>
      <c r="I305" s="51">
        <v>0</v>
      </c>
      <c r="J305" s="262">
        <v>0</v>
      </c>
      <c r="K305" s="264">
        <v>0</v>
      </c>
      <c r="L305" s="3">
        <v>750</v>
      </c>
      <c r="M305" s="3">
        <f t="shared" si="142"/>
        <v>0</v>
      </c>
      <c r="N305" s="3">
        <f t="shared" si="143"/>
        <v>0</v>
      </c>
      <c r="O305" s="265">
        <f t="shared" si="151"/>
        <v>750</v>
      </c>
      <c r="P305" s="3">
        <v>0</v>
      </c>
      <c r="Q305" s="3">
        <v>0</v>
      </c>
      <c r="R305" s="3">
        <v>0</v>
      </c>
      <c r="S305" s="3">
        <f t="shared" si="137"/>
        <v>750</v>
      </c>
      <c r="T305" s="3">
        <f t="shared" si="138"/>
        <v>75</v>
      </c>
      <c r="U305" s="3">
        <f t="shared" si="139"/>
        <v>37.5</v>
      </c>
      <c r="V305" s="3">
        <f t="shared" si="140"/>
        <v>300</v>
      </c>
      <c r="W305" s="3">
        <f t="shared" si="149"/>
        <v>412.5</v>
      </c>
      <c r="X305" s="3">
        <f t="shared" si="150"/>
        <v>862.5</v>
      </c>
      <c r="Y305" s="3">
        <f t="shared" si="141"/>
        <v>1162.5</v>
      </c>
      <c r="Z305" s="2">
        <v>2</v>
      </c>
    </row>
    <row r="306" spans="1:26" hidden="1" x14ac:dyDescent="0.25">
      <c r="B306" s="2" t="s">
        <v>814</v>
      </c>
      <c r="C306" s="2" t="s">
        <v>14</v>
      </c>
      <c r="D306" s="2" t="s">
        <v>14</v>
      </c>
      <c r="E306" s="2" t="s">
        <v>48</v>
      </c>
      <c r="F306" s="2" t="s">
        <v>713</v>
      </c>
      <c r="G306" s="2" t="s">
        <v>824</v>
      </c>
      <c r="H306" s="4" t="s">
        <v>54</v>
      </c>
      <c r="I306" s="51">
        <v>0</v>
      </c>
      <c r="J306" s="262">
        <f>985*0.65</f>
        <v>640.25</v>
      </c>
      <c r="K306" s="264">
        <v>0</v>
      </c>
      <c r="L306" s="3">
        <v>0</v>
      </c>
      <c r="M306" s="3">
        <f t="shared" si="142"/>
        <v>412.96124999999995</v>
      </c>
      <c r="N306" s="3">
        <f t="shared" si="143"/>
        <v>550.61500000000001</v>
      </c>
      <c r="O306" s="265">
        <f t="shared" si="151"/>
        <v>3716.6512499999999</v>
      </c>
      <c r="P306" s="3">
        <v>0</v>
      </c>
      <c r="Q306" s="3">
        <v>0</v>
      </c>
      <c r="R306" s="3">
        <v>0</v>
      </c>
      <c r="S306" s="3">
        <f t="shared" si="137"/>
        <v>3716.6512499999999</v>
      </c>
      <c r="T306" s="3">
        <f t="shared" si="138"/>
        <v>371.66512499999999</v>
      </c>
      <c r="U306" s="3">
        <f t="shared" si="139"/>
        <v>185.83256249999999</v>
      </c>
      <c r="V306" s="3">
        <f t="shared" si="140"/>
        <v>1486.6605</v>
      </c>
      <c r="W306" s="3">
        <f t="shared" ref="W306" si="152">SUM(T306:V306)</f>
        <v>2044.1581874999999</v>
      </c>
      <c r="X306" s="3">
        <f t="shared" ref="X306" si="153">SUM(S306:U306)</f>
        <v>4274.1489375000001</v>
      </c>
      <c r="Y306" s="3">
        <f t="shared" si="141"/>
        <v>5760.8094375000001</v>
      </c>
      <c r="Z306" s="2">
        <v>2</v>
      </c>
    </row>
    <row r="307" spans="1:26" hidden="1" x14ac:dyDescent="0.25">
      <c r="B307" s="2" t="s">
        <v>899</v>
      </c>
      <c r="C307" s="2" t="s">
        <v>14</v>
      </c>
      <c r="D307" s="2" t="s">
        <v>14</v>
      </c>
      <c r="E307" s="2" t="s">
        <v>12</v>
      </c>
      <c r="F307" s="2" t="s">
        <v>810</v>
      </c>
      <c r="G307" s="2" t="s">
        <v>50</v>
      </c>
      <c r="H307" s="4"/>
      <c r="I307" s="51">
        <v>0</v>
      </c>
      <c r="J307" s="262">
        <v>0</v>
      </c>
      <c r="K307" s="264">
        <v>0</v>
      </c>
      <c r="L307" s="3">
        <v>3000</v>
      </c>
      <c r="M307" s="3">
        <f t="shared" si="142"/>
        <v>0</v>
      </c>
      <c r="N307" s="3">
        <f t="shared" si="143"/>
        <v>0</v>
      </c>
      <c r="O307" s="265">
        <f t="shared" ref="O307:O327" si="154">N307+M307+L307+1.1*K307+J307*4.3+I307*3.77</f>
        <v>3000</v>
      </c>
      <c r="P307" s="3">
        <v>0</v>
      </c>
      <c r="Q307" s="3">
        <v>0</v>
      </c>
      <c r="R307" s="3">
        <v>0</v>
      </c>
      <c r="S307" s="3">
        <f t="shared" si="137"/>
        <v>3000</v>
      </c>
      <c r="T307" s="3">
        <f t="shared" si="138"/>
        <v>300</v>
      </c>
      <c r="U307" s="3">
        <f t="shared" si="139"/>
        <v>150</v>
      </c>
      <c r="V307" s="3">
        <f t="shared" si="140"/>
        <v>1200</v>
      </c>
      <c r="W307" s="3">
        <f t="shared" ref="W307" si="155">SUM(T307:V307)</f>
        <v>1650</v>
      </c>
      <c r="X307" s="3">
        <f t="shared" ref="X307" si="156">SUM(S307:U307)</f>
        <v>3450</v>
      </c>
      <c r="Y307" s="3">
        <f t="shared" si="141"/>
        <v>4650</v>
      </c>
      <c r="Z307" s="2">
        <v>2</v>
      </c>
    </row>
    <row r="308" spans="1:26" hidden="1" x14ac:dyDescent="0.25">
      <c r="B308" s="2" t="s">
        <v>728</v>
      </c>
      <c r="C308" s="2" t="s">
        <v>24</v>
      </c>
      <c r="D308" s="2" t="s">
        <v>14</v>
      </c>
      <c r="E308" s="2" t="s">
        <v>812</v>
      </c>
      <c r="F308" s="2" t="s">
        <v>727</v>
      </c>
      <c r="G308" s="2" t="s">
        <v>50</v>
      </c>
      <c r="H308" s="4"/>
      <c r="I308" s="51">
        <v>0</v>
      </c>
      <c r="J308" s="262">
        <v>0</v>
      </c>
      <c r="K308" s="264">
        <v>0</v>
      </c>
      <c r="L308" s="3">
        <v>56</v>
      </c>
      <c r="M308" s="3">
        <f t="shared" si="142"/>
        <v>0</v>
      </c>
      <c r="N308" s="3">
        <f t="shared" si="143"/>
        <v>0</v>
      </c>
      <c r="O308" s="265">
        <f t="shared" si="154"/>
        <v>56</v>
      </c>
      <c r="P308" s="3">
        <v>0</v>
      </c>
      <c r="Q308" s="3">
        <v>30</v>
      </c>
      <c r="R308" s="3">
        <v>0</v>
      </c>
      <c r="S308" s="3">
        <f t="shared" si="137"/>
        <v>86</v>
      </c>
      <c r="T308" s="3">
        <f t="shared" si="138"/>
        <v>8.6</v>
      </c>
      <c r="U308" s="3">
        <f t="shared" si="139"/>
        <v>4.3</v>
      </c>
      <c r="V308" s="3">
        <f t="shared" si="140"/>
        <v>34.4</v>
      </c>
      <c r="W308" s="3">
        <f t="shared" ref="W308:W322" si="157">SUM(T308:V308)</f>
        <v>47.3</v>
      </c>
      <c r="X308" s="3">
        <f t="shared" ref="X308:X322" si="158">SUM(S308:U308)</f>
        <v>98.899999999999991</v>
      </c>
      <c r="Y308" s="3">
        <f t="shared" si="141"/>
        <v>133.30000000000001</v>
      </c>
      <c r="Z308" s="2">
        <v>2</v>
      </c>
    </row>
    <row r="309" spans="1:26" hidden="1" x14ac:dyDescent="0.25">
      <c r="B309" s="2" t="s">
        <v>729</v>
      </c>
      <c r="C309" s="2" t="s">
        <v>26</v>
      </c>
      <c r="D309" s="2" t="s">
        <v>14</v>
      </c>
      <c r="E309" s="2" t="s">
        <v>812</v>
      </c>
      <c r="F309" s="2" t="s">
        <v>727</v>
      </c>
      <c r="G309" s="2" t="s">
        <v>50</v>
      </c>
      <c r="H309" s="4"/>
      <c r="I309" s="51">
        <v>0</v>
      </c>
      <c r="J309" s="262">
        <v>0</v>
      </c>
      <c r="K309" s="264">
        <v>0</v>
      </c>
      <c r="L309" s="3">
        <v>93</v>
      </c>
      <c r="M309" s="3">
        <f t="shared" si="142"/>
        <v>0</v>
      </c>
      <c r="N309" s="3">
        <f t="shared" si="143"/>
        <v>0</v>
      </c>
      <c r="O309" s="265">
        <f t="shared" si="154"/>
        <v>93</v>
      </c>
      <c r="P309" s="3">
        <v>0</v>
      </c>
      <c r="Q309" s="3">
        <v>30</v>
      </c>
      <c r="R309" s="3">
        <v>0</v>
      </c>
      <c r="S309" s="3">
        <f t="shared" si="137"/>
        <v>123</v>
      </c>
      <c r="T309" s="3">
        <f t="shared" si="138"/>
        <v>12.3</v>
      </c>
      <c r="U309" s="3">
        <f t="shared" si="139"/>
        <v>6.15</v>
      </c>
      <c r="V309" s="3">
        <f t="shared" si="140"/>
        <v>49.2</v>
      </c>
      <c r="W309" s="3">
        <f t="shared" si="157"/>
        <v>67.650000000000006</v>
      </c>
      <c r="X309" s="3">
        <f t="shared" si="158"/>
        <v>141.45000000000002</v>
      </c>
      <c r="Y309" s="3">
        <f t="shared" si="141"/>
        <v>190.65</v>
      </c>
      <c r="Z309" s="2">
        <v>2.5</v>
      </c>
    </row>
    <row r="310" spans="1:26" hidden="1" x14ac:dyDescent="0.25">
      <c r="B310" s="2" t="s">
        <v>730</v>
      </c>
      <c r="C310" s="2" t="s">
        <v>27</v>
      </c>
      <c r="D310" s="2" t="s">
        <v>14</v>
      </c>
      <c r="E310" s="2" t="s">
        <v>812</v>
      </c>
      <c r="F310" s="2" t="s">
        <v>727</v>
      </c>
      <c r="G310" s="2" t="s">
        <v>50</v>
      </c>
      <c r="H310" s="4"/>
      <c r="I310" s="51">
        <v>0</v>
      </c>
      <c r="J310" s="262">
        <v>0</v>
      </c>
      <c r="K310" s="264">
        <v>0</v>
      </c>
      <c r="L310" s="3">
        <v>200</v>
      </c>
      <c r="M310" s="3">
        <f t="shared" si="142"/>
        <v>0</v>
      </c>
      <c r="N310" s="3">
        <f t="shared" si="143"/>
        <v>0</v>
      </c>
      <c r="O310" s="265">
        <f t="shared" si="154"/>
        <v>200</v>
      </c>
      <c r="P310" s="3">
        <v>0</v>
      </c>
      <c r="Q310" s="3">
        <v>30</v>
      </c>
      <c r="R310" s="3">
        <v>0</v>
      </c>
      <c r="S310" s="3">
        <f t="shared" si="137"/>
        <v>230</v>
      </c>
      <c r="T310" s="3">
        <f t="shared" si="138"/>
        <v>23</v>
      </c>
      <c r="U310" s="3">
        <f t="shared" si="139"/>
        <v>11.5</v>
      </c>
      <c r="V310" s="3">
        <f t="shared" si="140"/>
        <v>92</v>
      </c>
      <c r="W310" s="3">
        <f t="shared" si="157"/>
        <v>126.5</v>
      </c>
      <c r="X310" s="3">
        <f t="shared" si="158"/>
        <v>264.5</v>
      </c>
      <c r="Y310" s="3">
        <f t="shared" si="141"/>
        <v>356.5</v>
      </c>
      <c r="Z310" s="2">
        <v>2.5</v>
      </c>
    </row>
    <row r="311" spans="1:26" hidden="1" x14ac:dyDescent="0.25">
      <c r="B311" s="2" t="s">
        <v>731</v>
      </c>
      <c r="C311" s="2" t="s">
        <v>24</v>
      </c>
      <c r="D311" s="2" t="s">
        <v>14</v>
      </c>
      <c r="E311" s="2" t="s">
        <v>812</v>
      </c>
      <c r="F311" s="2" t="s">
        <v>727</v>
      </c>
      <c r="G311" s="2" t="s">
        <v>50</v>
      </c>
      <c r="H311" s="4"/>
      <c r="I311" s="51">
        <v>0</v>
      </c>
      <c r="J311" s="262">
        <v>0</v>
      </c>
      <c r="K311" s="264">
        <v>0</v>
      </c>
      <c r="L311" s="3">
        <v>67</v>
      </c>
      <c r="M311" s="3">
        <f t="shared" si="142"/>
        <v>0</v>
      </c>
      <c r="N311" s="3">
        <f t="shared" si="143"/>
        <v>0</v>
      </c>
      <c r="O311" s="265">
        <f t="shared" si="154"/>
        <v>67</v>
      </c>
      <c r="P311" s="3">
        <v>0</v>
      </c>
      <c r="Q311" s="3">
        <v>30</v>
      </c>
      <c r="R311" s="3">
        <v>0</v>
      </c>
      <c r="S311" s="3">
        <f t="shared" si="137"/>
        <v>97</v>
      </c>
      <c r="T311" s="3">
        <f t="shared" si="138"/>
        <v>9.7000000000000011</v>
      </c>
      <c r="U311" s="3">
        <f t="shared" si="139"/>
        <v>4.8500000000000005</v>
      </c>
      <c r="V311" s="3">
        <f t="shared" si="140"/>
        <v>38.800000000000004</v>
      </c>
      <c r="W311" s="3">
        <f t="shared" si="157"/>
        <v>53.350000000000009</v>
      </c>
      <c r="X311" s="3">
        <f t="shared" si="158"/>
        <v>111.55</v>
      </c>
      <c r="Y311" s="3">
        <f t="shared" si="141"/>
        <v>150.35000000000002</v>
      </c>
      <c r="Z311" s="2">
        <v>2</v>
      </c>
    </row>
    <row r="312" spans="1:26" hidden="1" x14ac:dyDescent="0.25">
      <c r="B312" s="2" t="s">
        <v>732</v>
      </c>
      <c r="C312" s="2" t="s">
        <v>26</v>
      </c>
      <c r="D312" s="2" t="s">
        <v>14</v>
      </c>
      <c r="E312" s="2" t="s">
        <v>812</v>
      </c>
      <c r="F312" s="2" t="s">
        <v>727</v>
      </c>
      <c r="G312" s="2" t="s">
        <v>50</v>
      </c>
      <c r="H312" s="4"/>
      <c r="I312" s="51">
        <v>0</v>
      </c>
      <c r="J312" s="262">
        <v>0</v>
      </c>
      <c r="K312" s="264">
        <v>0</v>
      </c>
      <c r="L312" s="3">
        <v>119</v>
      </c>
      <c r="M312" s="3">
        <f t="shared" si="142"/>
        <v>0</v>
      </c>
      <c r="N312" s="3">
        <f t="shared" si="143"/>
        <v>0</v>
      </c>
      <c r="O312" s="265">
        <f t="shared" si="154"/>
        <v>119</v>
      </c>
      <c r="P312" s="3">
        <v>0</v>
      </c>
      <c r="Q312" s="3">
        <v>30</v>
      </c>
      <c r="R312" s="3">
        <v>0</v>
      </c>
      <c r="S312" s="3">
        <f t="shared" si="137"/>
        <v>149</v>
      </c>
      <c r="T312" s="3">
        <f t="shared" si="138"/>
        <v>14.9</v>
      </c>
      <c r="U312" s="3">
        <f t="shared" si="139"/>
        <v>7.45</v>
      </c>
      <c r="V312" s="3">
        <f t="shared" si="140"/>
        <v>59.6</v>
      </c>
      <c r="W312" s="3">
        <f t="shared" si="157"/>
        <v>81.95</v>
      </c>
      <c r="X312" s="3">
        <f t="shared" si="158"/>
        <v>171.35</v>
      </c>
      <c r="Y312" s="3">
        <f t="shared" si="141"/>
        <v>230.95</v>
      </c>
      <c r="Z312" s="2">
        <v>2.5</v>
      </c>
    </row>
    <row r="313" spans="1:26" hidden="1" x14ac:dyDescent="0.25">
      <c r="B313" s="2" t="s">
        <v>733</v>
      </c>
      <c r="C313" s="2" t="s">
        <v>27</v>
      </c>
      <c r="D313" s="2" t="s">
        <v>14</v>
      </c>
      <c r="E313" s="2" t="s">
        <v>812</v>
      </c>
      <c r="F313" s="2" t="s">
        <v>727</v>
      </c>
      <c r="G313" s="2" t="s">
        <v>50</v>
      </c>
      <c r="H313" s="4"/>
      <c r="I313" s="51">
        <v>0</v>
      </c>
      <c r="J313" s="262">
        <v>0</v>
      </c>
      <c r="K313" s="264">
        <v>0</v>
      </c>
      <c r="L313" s="3">
        <v>258</v>
      </c>
      <c r="M313" s="3">
        <f t="shared" si="142"/>
        <v>0</v>
      </c>
      <c r="N313" s="3">
        <f t="shared" si="143"/>
        <v>0</v>
      </c>
      <c r="O313" s="265">
        <f t="shared" si="154"/>
        <v>258</v>
      </c>
      <c r="P313" s="3">
        <v>0</v>
      </c>
      <c r="Q313" s="3">
        <v>30</v>
      </c>
      <c r="R313" s="3">
        <v>0</v>
      </c>
      <c r="S313" s="3">
        <f t="shared" si="137"/>
        <v>288</v>
      </c>
      <c r="T313" s="3">
        <f t="shared" si="138"/>
        <v>28.8</v>
      </c>
      <c r="U313" s="3">
        <f t="shared" si="139"/>
        <v>14.4</v>
      </c>
      <c r="V313" s="3">
        <f t="shared" si="140"/>
        <v>115.2</v>
      </c>
      <c r="W313" s="3">
        <f t="shared" si="157"/>
        <v>158.4</v>
      </c>
      <c r="X313" s="3">
        <f t="shared" si="158"/>
        <v>331.2</v>
      </c>
      <c r="Y313" s="3">
        <f t="shared" si="141"/>
        <v>446.4</v>
      </c>
      <c r="Z313" s="2">
        <v>2.5</v>
      </c>
    </row>
    <row r="314" spans="1:26" hidden="1" x14ac:dyDescent="0.25">
      <c r="B314" s="2" t="s">
        <v>734</v>
      </c>
      <c r="C314" s="2" t="s">
        <v>24</v>
      </c>
      <c r="D314" s="2" t="s">
        <v>14</v>
      </c>
      <c r="E314" s="2" t="s">
        <v>812</v>
      </c>
      <c r="F314" s="2" t="s">
        <v>727</v>
      </c>
      <c r="G314" s="2" t="s">
        <v>50</v>
      </c>
      <c r="H314" s="4"/>
      <c r="I314" s="51">
        <v>0</v>
      </c>
      <c r="J314" s="262">
        <v>0</v>
      </c>
      <c r="K314" s="264">
        <v>0</v>
      </c>
      <c r="L314" s="3">
        <v>41</v>
      </c>
      <c r="M314" s="3">
        <f t="shared" si="142"/>
        <v>0</v>
      </c>
      <c r="N314" s="3">
        <f t="shared" si="143"/>
        <v>0</v>
      </c>
      <c r="O314" s="265">
        <f t="shared" si="154"/>
        <v>41</v>
      </c>
      <c r="P314" s="3">
        <v>0</v>
      </c>
      <c r="Q314" s="3">
        <f>0.1*L314</f>
        <v>4.1000000000000005</v>
      </c>
      <c r="R314" s="3">
        <v>0</v>
      </c>
      <c r="S314" s="3">
        <f t="shared" si="137"/>
        <v>45.1</v>
      </c>
      <c r="T314" s="3">
        <f t="shared" si="138"/>
        <v>4.5100000000000007</v>
      </c>
      <c r="U314" s="3">
        <f t="shared" si="139"/>
        <v>2.2550000000000003</v>
      </c>
      <c r="V314" s="3">
        <f t="shared" si="140"/>
        <v>18.040000000000003</v>
      </c>
      <c r="W314" s="3">
        <f t="shared" si="157"/>
        <v>24.805000000000003</v>
      </c>
      <c r="X314" s="3">
        <f t="shared" si="158"/>
        <v>51.865000000000002</v>
      </c>
      <c r="Y314" s="3">
        <f t="shared" si="141"/>
        <v>69.905000000000001</v>
      </c>
      <c r="Z314" s="2">
        <v>2</v>
      </c>
    </row>
    <row r="315" spans="1:26" hidden="1" x14ac:dyDescent="0.25">
      <c r="B315" s="2" t="s">
        <v>735</v>
      </c>
      <c r="C315" s="2" t="s">
        <v>26</v>
      </c>
      <c r="D315" s="2" t="s">
        <v>14</v>
      </c>
      <c r="E315" s="2" t="s">
        <v>812</v>
      </c>
      <c r="F315" s="2" t="s">
        <v>727</v>
      </c>
      <c r="G315" s="2" t="s">
        <v>50</v>
      </c>
      <c r="H315" s="4"/>
      <c r="I315" s="51">
        <v>0</v>
      </c>
      <c r="J315" s="262">
        <v>0</v>
      </c>
      <c r="K315" s="264">
        <v>0</v>
      </c>
      <c r="L315" s="3">
        <v>77</v>
      </c>
      <c r="M315" s="3">
        <f t="shared" si="142"/>
        <v>0</v>
      </c>
      <c r="N315" s="3">
        <f t="shared" si="143"/>
        <v>0</v>
      </c>
      <c r="O315" s="265">
        <f t="shared" si="154"/>
        <v>77</v>
      </c>
      <c r="P315" s="3">
        <v>0</v>
      </c>
      <c r="Q315" s="3">
        <f>0.1*L315</f>
        <v>7.7</v>
      </c>
      <c r="R315" s="3">
        <v>0</v>
      </c>
      <c r="S315" s="3">
        <f t="shared" si="137"/>
        <v>84.7</v>
      </c>
      <c r="T315" s="3">
        <f t="shared" si="138"/>
        <v>8.4700000000000006</v>
      </c>
      <c r="U315" s="3">
        <f t="shared" si="139"/>
        <v>4.2350000000000003</v>
      </c>
      <c r="V315" s="3">
        <f t="shared" si="140"/>
        <v>33.880000000000003</v>
      </c>
      <c r="W315" s="3">
        <f t="shared" si="157"/>
        <v>46.585000000000008</v>
      </c>
      <c r="X315" s="3">
        <f t="shared" si="158"/>
        <v>97.405000000000001</v>
      </c>
      <c r="Y315" s="3">
        <f t="shared" si="141"/>
        <v>131.28500000000003</v>
      </c>
      <c r="Z315" s="2">
        <v>2.5</v>
      </c>
    </row>
    <row r="316" spans="1:26" hidden="1" x14ac:dyDescent="0.25">
      <c r="B316" s="2" t="s">
        <v>736</v>
      </c>
      <c r="C316" s="2" t="s">
        <v>27</v>
      </c>
      <c r="D316" s="2" t="s">
        <v>14</v>
      </c>
      <c r="E316" s="2" t="s">
        <v>812</v>
      </c>
      <c r="F316" s="2" t="s">
        <v>727</v>
      </c>
      <c r="G316" s="2" t="s">
        <v>50</v>
      </c>
      <c r="H316" s="4"/>
      <c r="I316" s="51">
        <v>0</v>
      </c>
      <c r="J316" s="262">
        <v>0</v>
      </c>
      <c r="K316" s="264">
        <v>0</v>
      </c>
      <c r="L316" s="3">
        <v>177</v>
      </c>
      <c r="M316" s="3">
        <f t="shared" si="142"/>
        <v>0</v>
      </c>
      <c r="N316" s="3">
        <f t="shared" si="143"/>
        <v>0</v>
      </c>
      <c r="O316" s="265">
        <f t="shared" si="154"/>
        <v>177</v>
      </c>
      <c r="P316" s="3">
        <v>0</v>
      </c>
      <c r="Q316" s="3">
        <f>0.1*L316</f>
        <v>17.7</v>
      </c>
      <c r="R316" s="3">
        <v>0</v>
      </c>
      <c r="S316" s="3">
        <f t="shared" si="137"/>
        <v>194.7</v>
      </c>
      <c r="T316" s="3">
        <f t="shared" si="138"/>
        <v>19.47</v>
      </c>
      <c r="U316" s="3">
        <f t="shared" si="139"/>
        <v>9.7349999999999994</v>
      </c>
      <c r="V316" s="3">
        <f t="shared" si="140"/>
        <v>77.88</v>
      </c>
      <c r="W316" s="3">
        <f t="shared" si="157"/>
        <v>107.08499999999999</v>
      </c>
      <c r="X316" s="3">
        <f t="shared" si="158"/>
        <v>223.90499999999997</v>
      </c>
      <c r="Y316" s="3">
        <f t="shared" si="141"/>
        <v>301.78499999999997</v>
      </c>
      <c r="Z316" s="2">
        <v>2.5</v>
      </c>
    </row>
    <row r="317" spans="1:26" hidden="1" x14ac:dyDescent="0.25">
      <c r="B317" s="2" t="s">
        <v>737</v>
      </c>
      <c r="C317" s="2" t="s">
        <v>29</v>
      </c>
      <c r="D317" s="2" t="s">
        <v>14</v>
      </c>
      <c r="E317" s="2" t="s">
        <v>812</v>
      </c>
      <c r="F317" s="2" t="s">
        <v>727</v>
      </c>
      <c r="G317" s="2" t="s">
        <v>50</v>
      </c>
      <c r="H317" s="4"/>
      <c r="I317" s="51">
        <v>0</v>
      </c>
      <c r="J317" s="262">
        <v>0</v>
      </c>
      <c r="K317" s="264">
        <v>0</v>
      </c>
      <c r="L317" s="3">
        <v>510</v>
      </c>
      <c r="M317" s="3">
        <f t="shared" si="142"/>
        <v>0</v>
      </c>
      <c r="N317" s="3">
        <f t="shared" si="143"/>
        <v>0</v>
      </c>
      <c r="O317" s="265">
        <f t="shared" si="154"/>
        <v>510</v>
      </c>
      <c r="P317" s="3">
        <v>0</v>
      </c>
      <c r="Q317" s="3">
        <v>150</v>
      </c>
      <c r="R317" s="3">
        <v>0</v>
      </c>
      <c r="S317" s="3">
        <f t="shared" si="137"/>
        <v>660</v>
      </c>
      <c r="T317" s="3">
        <f t="shared" si="138"/>
        <v>66</v>
      </c>
      <c r="U317" s="3">
        <f t="shared" si="139"/>
        <v>33</v>
      </c>
      <c r="V317" s="3">
        <f t="shared" si="140"/>
        <v>264</v>
      </c>
      <c r="W317" s="3">
        <f t="shared" si="157"/>
        <v>363</v>
      </c>
      <c r="X317" s="3">
        <f t="shared" si="158"/>
        <v>759</v>
      </c>
      <c r="Y317" s="3">
        <f t="shared" si="141"/>
        <v>1023</v>
      </c>
      <c r="Z317" s="2">
        <v>5</v>
      </c>
    </row>
    <row r="318" spans="1:26" hidden="1" x14ac:dyDescent="0.25">
      <c r="B318" s="2" t="s">
        <v>738</v>
      </c>
      <c r="C318" s="2" t="s">
        <v>29</v>
      </c>
      <c r="D318" s="2" t="s">
        <v>14</v>
      </c>
      <c r="E318" s="2" t="s">
        <v>812</v>
      </c>
      <c r="F318" s="2" t="s">
        <v>727</v>
      </c>
      <c r="G318" s="2" t="s">
        <v>50</v>
      </c>
      <c r="H318" s="4"/>
      <c r="I318" s="51">
        <v>0</v>
      </c>
      <c r="J318" s="262">
        <v>0</v>
      </c>
      <c r="K318" s="264">
        <v>0</v>
      </c>
      <c r="L318" s="3">
        <v>435</v>
      </c>
      <c r="M318" s="3">
        <f t="shared" si="142"/>
        <v>0</v>
      </c>
      <c r="N318" s="3">
        <f t="shared" si="143"/>
        <v>0</v>
      </c>
      <c r="O318" s="265">
        <f t="shared" si="154"/>
        <v>435</v>
      </c>
      <c r="P318" s="3">
        <v>0</v>
      </c>
      <c r="Q318" s="3">
        <v>150</v>
      </c>
      <c r="R318" s="3">
        <v>0</v>
      </c>
      <c r="S318" s="3">
        <f t="shared" si="137"/>
        <v>585</v>
      </c>
      <c r="T318" s="3">
        <f t="shared" si="138"/>
        <v>58.5</v>
      </c>
      <c r="U318" s="3">
        <f t="shared" si="139"/>
        <v>29.25</v>
      </c>
      <c r="V318" s="3">
        <f t="shared" si="140"/>
        <v>234</v>
      </c>
      <c r="W318" s="3">
        <f t="shared" si="157"/>
        <v>321.75</v>
      </c>
      <c r="X318" s="3">
        <f t="shared" si="158"/>
        <v>672.75</v>
      </c>
      <c r="Y318" s="3">
        <f t="shared" si="141"/>
        <v>906.75</v>
      </c>
      <c r="Z318" s="2">
        <v>5</v>
      </c>
    </row>
    <row r="319" spans="1:26" hidden="1" x14ac:dyDescent="0.25">
      <c r="B319" s="2" t="s">
        <v>739</v>
      </c>
      <c r="C319" s="2" t="s">
        <v>29</v>
      </c>
      <c r="D319" s="2" t="s">
        <v>14</v>
      </c>
      <c r="E319" s="2" t="s">
        <v>812</v>
      </c>
      <c r="F319" s="2" t="s">
        <v>727</v>
      </c>
      <c r="G319" s="2" t="s">
        <v>50</v>
      </c>
      <c r="H319" s="4"/>
      <c r="I319" s="51">
        <v>0</v>
      </c>
      <c r="J319" s="262">
        <v>0</v>
      </c>
      <c r="K319" s="264">
        <v>0</v>
      </c>
      <c r="L319" s="3">
        <v>293</v>
      </c>
      <c r="M319" s="3">
        <f t="shared" si="142"/>
        <v>0</v>
      </c>
      <c r="N319" s="3">
        <f t="shared" si="143"/>
        <v>0</v>
      </c>
      <c r="O319" s="265">
        <f t="shared" si="154"/>
        <v>293</v>
      </c>
      <c r="P319" s="3">
        <v>0</v>
      </c>
      <c r="Q319" s="3">
        <f>0.1*L319</f>
        <v>29.3</v>
      </c>
      <c r="R319" s="3">
        <v>0</v>
      </c>
      <c r="S319" s="3">
        <f t="shared" si="137"/>
        <v>322.3</v>
      </c>
      <c r="T319" s="3">
        <f t="shared" si="138"/>
        <v>32.230000000000004</v>
      </c>
      <c r="U319" s="3">
        <f t="shared" si="139"/>
        <v>16.115000000000002</v>
      </c>
      <c r="V319" s="3">
        <f t="shared" si="140"/>
        <v>128.92000000000002</v>
      </c>
      <c r="W319" s="3">
        <f t="shared" si="157"/>
        <v>177.26500000000001</v>
      </c>
      <c r="X319" s="3">
        <f t="shared" si="158"/>
        <v>370.64500000000004</v>
      </c>
      <c r="Y319" s="3">
        <f t="shared" si="141"/>
        <v>499.56500000000005</v>
      </c>
      <c r="Z319" s="2">
        <v>5</v>
      </c>
    </row>
    <row r="320" spans="1:26" hidden="1" x14ac:dyDescent="0.25">
      <c r="B320" s="2" t="s">
        <v>758</v>
      </c>
      <c r="C320" s="2" t="s">
        <v>815</v>
      </c>
      <c r="D320" s="2" t="s">
        <v>14</v>
      </c>
      <c r="E320" s="2" t="s">
        <v>813</v>
      </c>
      <c r="F320" s="2" t="s">
        <v>35</v>
      </c>
      <c r="G320" s="2" t="s">
        <v>50</v>
      </c>
      <c r="H320" s="4"/>
      <c r="I320" s="51">
        <v>0</v>
      </c>
      <c r="J320" s="262">
        <v>0</v>
      </c>
      <c r="K320" s="264">
        <v>0</v>
      </c>
      <c r="L320" s="3">
        <f>270+9000/170</f>
        <v>322.94117647058823</v>
      </c>
      <c r="M320" s="3">
        <f t="shared" si="142"/>
        <v>0</v>
      </c>
      <c r="N320" s="3">
        <f t="shared" si="143"/>
        <v>0</v>
      </c>
      <c r="O320" s="265">
        <f t="shared" si="154"/>
        <v>322.94117647058823</v>
      </c>
      <c r="P320" s="3">
        <v>0</v>
      </c>
      <c r="Q320" s="3">
        <v>0</v>
      </c>
      <c r="R320" s="3">
        <v>0</v>
      </c>
      <c r="S320" s="3">
        <f t="shared" si="137"/>
        <v>322.94117647058823</v>
      </c>
      <c r="T320" s="3">
        <f t="shared" si="138"/>
        <v>32.294117647058826</v>
      </c>
      <c r="U320" s="3">
        <f t="shared" si="139"/>
        <v>16.147058823529413</v>
      </c>
      <c r="V320" s="3">
        <f t="shared" si="140"/>
        <v>129.1764705882353</v>
      </c>
      <c r="W320" s="3">
        <f t="shared" si="157"/>
        <v>177.61764705882354</v>
      </c>
      <c r="X320" s="3">
        <f t="shared" si="158"/>
        <v>371.38235294117646</v>
      </c>
      <c r="Y320" s="3">
        <f t="shared" si="141"/>
        <v>500.55882352941177</v>
      </c>
      <c r="Z320" s="2">
        <v>0.5</v>
      </c>
    </row>
    <row r="321" spans="1:26" hidden="1" x14ac:dyDescent="0.25">
      <c r="B321" s="2" t="s">
        <v>760</v>
      </c>
      <c r="C321" s="2" t="s">
        <v>816</v>
      </c>
      <c r="D321" s="2" t="s">
        <v>14</v>
      </c>
      <c r="E321" s="2" t="s">
        <v>813</v>
      </c>
      <c r="F321" s="2" t="s">
        <v>35</v>
      </c>
      <c r="G321" s="2" t="s">
        <v>50</v>
      </c>
      <c r="H321" s="4"/>
      <c r="I321" s="51">
        <v>0</v>
      </c>
      <c r="J321" s="262">
        <v>0</v>
      </c>
      <c r="K321" s="264">
        <v>0</v>
      </c>
      <c r="L321" s="3">
        <f>160+9000/170</f>
        <v>212.94117647058823</v>
      </c>
      <c r="M321" s="3">
        <f t="shared" si="142"/>
        <v>0</v>
      </c>
      <c r="N321" s="3">
        <f t="shared" si="143"/>
        <v>0</v>
      </c>
      <c r="O321" s="265">
        <f t="shared" si="154"/>
        <v>212.94117647058823</v>
      </c>
      <c r="P321" s="3">
        <v>0</v>
      </c>
      <c r="Q321" s="3">
        <v>0</v>
      </c>
      <c r="R321" s="3">
        <v>0</v>
      </c>
      <c r="S321" s="3">
        <f t="shared" si="137"/>
        <v>212.94117647058823</v>
      </c>
      <c r="T321" s="3">
        <f t="shared" si="138"/>
        <v>21.294117647058826</v>
      </c>
      <c r="U321" s="3">
        <f t="shared" si="139"/>
        <v>10.647058823529413</v>
      </c>
      <c r="V321" s="3">
        <f t="shared" si="140"/>
        <v>85.176470588235304</v>
      </c>
      <c r="W321" s="3">
        <f t="shared" si="157"/>
        <v>117.11764705882354</v>
      </c>
      <c r="X321" s="3">
        <f t="shared" si="158"/>
        <v>244.88235294117649</v>
      </c>
      <c r="Y321" s="3">
        <f t="shared" si="141"/>
        <v>330.05882352941177</v>
      </c>
      <c r="Z321" s="2">
        <v>0.5</v>
      </c>
    </row>
    <row r="322" spans="1:26" hidden="1" x14ac:dyDescent="0.25">
      <c r="B322" s="2" t="s">
        <v>752</v>
      </c>
      <c r="C322" s="2" t="s">
        <v>817</v>
      </c>
      <c r="D322" s="2" t="s">
        <v>14</v>
      </c>
      <c r="E322" s="2" t="s">
        <v>813</v>
      </c>
      <c r="F322" s="2" t="s">
        <v>35</v>
      </c>
      <c r="G322" s="2" t="s">
        <v>50</v>
      </c>
      <c r="H322" s="4"/>
      <c r="I322" s="51">
        <v>0</v>
      </c>
      <c r="J322" s="262">
        <v>0</v>
      </c>
      <c r="K322" s="264">
        <v>0</v>
      </c>
      <c r="L322" s="3">
        <f>300+9000/170</f>
        <v>352.94117647058823</v>
      </c>
      <c r="M322" s="3">
        <f t="shared" si="142"/>
        <v>0</v>
      </c>
      <c r="N322" s="3">
        <f t="shared" si="143"/>
        <v>0</v>
      </c>
      <c r="O322" s="265">
        <f t="shared" si="154"/>
        <v>352.94117647058823</v>
      </c>
      <c r="P322" s="3">
        <v>0</v>
      </c>
      <c r="Q322" s="3">
        <v>0</v>
      </c>
      <c r="R322" s="3">
        <v>0</v>
      </c>
      <c r="S322" s="3">
        <f t="shared" si="137"/>
        <v>352.94117647058823</v>
      </c>
      <c r="T322" s="3">
        <f t="shared" si="138"/>
        <v>35.294117647058826</v>
      </c>
      <c r="U322" s="3">
        <f t="shared" si="139"/>
        <v>17.647058823529413</v>
      </c>
      <c r="V322" s="3">
        <f t="shared" si="140"/>
        <v>141.1764705882353</v>
      </c>
      <c r="W322" s="3">
        <f t="shared" si="157"/>
        <v>194.11764705882354</v>
      </c>
      <c r="X322" s="3">
        <f t="shared" si="158"/>
        <v>405.88235294117646</v>
      </c>
      <c r="Y322" s="3">
        <f t="shared" si="141"/>
        <v>547.05882352941171</v>
      </c>
      <c r="Z322" s="2">
        <v>0.5</v>
      </c>
    </row>
    <row r="323" spans="1:26" hidden="1" x14ac:dyDescent="0.25">
      <c r="B323" s="2" t="s">
        <v>759</v>
      </c>
      <c r="C323" s="2" t="s">
        <v>755</v>
      </c>
      <c r="D323" s="2" t="s">
        <v>14</v>
      </c>
      <c r="E323" s="2" t="s">
        <v>813</v>
      </c>
      <c r="F323" s="2" t="s">
        <v>35</v>
      </c>
      <c r="G323" s="2" t="s">
        <v>50</v>
      </c>
      <c r="H323" s="4"/>
      <c r="I323" s="51">
        <v>0</v>
      </c>
      <c r="J323" s="262">
        <v>0</v>
      </c>
      <c r="K323" s="264">
        <v>0</v>
      </c>
      <c r="L323" s="3">
        <f>530+9000/170</f>
        <v>582.94117647058829</v>
      </c>
      <c r="M323" s="3">
        <f t="shared" si="142"/>
        <v>0</v>
      </c>
      <c r="N323" s="3">
        <f t="shared" si="143"/>
        <v>0</v>
      </c>
      <c r="O323" s="265">
        <f t="shared" si="154"/>
        <v>582.94117647058829</v>
      </c>
      <c r="P323" s="3">
        <v>0</v>
      </c>
      <c r="Q323" s="3">
        <v>0</v>
      </c>
      <c r="R323" s="3">
        <v>0</v>
      </c>
      <c r="S323" s="3">
        <f t="shared" si="137"/>
        <v>582.94117647058829</v>
      </c>
      <c r="T323" s="3">
        <f t="shared" si="138"/>
        <v>58.294117647058833</v>
      </c>
      <c r="U323" s="3">
        <f t="shared" si="139"/>
        <v>29.147058823529417</v>
      </c>
      <c r="V323" s="3">
        <f t="shared" si="140"/>
        <v>233.17647058823533</v>
      </c>
      <c r="W323" s="3">
        <f t="shared" ref="W323" si="159">SUM(T323:V323)</f>
        <v>320.61764705882359</v>
      </c>
      <c r="X323" s="3">
        <f t="shared" ref="X323" si="160">SUM(S323:U323)</f>
        <v>670.38235294117646</v>
      </c>
      <c r="Y323" s="3">
        <f t="shared" si="141"/>
        <v>903.55882352941194</v>
      </c>
      <c r="Z323" s="2">
        <v>0.5</v>
      </c>
    </row>
    <row r="324" spans="1:26" hidden="1" x14ac:dyDescent="0.25">
      <c r="B324" s="2" t="s">
        <v>879</v>
      </c>
      <c r="C324" s="2" t="s">
        <v>14</v>
      </c>
      <c r="D324" s="2" t="s">
        <v>14</v>
      </c>
      <c r="E324" s="2" t="s">
        <v>761</v>
      </c>
      <c r="F324" s="2" t="s">
        <v>35</v>
      </c>
      <c r="G324" s="2" t="s">
        <v>823</v>
      </c>
      <c r="H324" s="4"/>
      <c r="I324" s="261">
        <v>150</v>
      </c>
      <c r="J324" s="263">
        <f>995*0.65</f>
        <v>646.75</v>
      </c>
      <c r="K324" s="264">
        <v>0</v>
      </c>
      <c r="L324" s="211">
        <f>150+200</f>
        <v>350</v>
      </c>
      <c r="M324" s="3">
        <f t="shared" si="142"/>
        <v>501.97874999999999</v>
      </c>
      <c r="N324" s="3">
        <f t="shared" si="143"/>
        <v>669.30500000000006</v>
      </c>
      <c r="O324" s="265">
        <f t="shared" si="154"/>
        <v>4867.8087500000001</v>
      </c>
      <c r="P324" s="3">
        <v>0</v>
      </c>
      <c r="Q324" s="3">
        <v>0</v>
      </c>
      <c r="R324" s="3">
        <v>0</v>
      </c>
      <c r="S324" s="3">
        <f t="shared" si="137"/>
        <v>4867.8087500000001</v>
      </c>
      <c r="T324" s="3">
        <f t="shared" si="138"/>
        <v>486.78087500000004</v>
      </c>
      <c r="U324" s="3">
        <f t="shared" si="139"/>
        <v>243.39043750000002</v>
      </c>
      <c r="V324" s="3">
        <f t="shared" si="140"/>
        <v>1947.1235000000001</v>
      </c>
      <c r="W324" s="3">
        <f t="shared" ref="W324" si="161">SUM(T324:V324)</f>
        <v>2677.2948125000003</v>
      </c>
      <c r="X324" s="3">
        <f t="shared" ref="X324" si="162">SUM(S324:U324)</f>
        <v>5597.9800625000007</v>
      </c>
      <c r="Y324" s="3">
        <f t="shared" si="141"/>
        <v>7545.1035625000004</v>
      </c>
      <c r="Z324" s="2">
        <v>4</v>
      </c>
    </row>
    <row r="325" spans="1:26" hidden="1" x14ac:dyDescent="0.25">
      <c r="B325" s="2" t="s">
        <v>788</v>
      </c>
      <c r="C325" s="2" t="s">
        <v>14</v>
      </c>
      <c r="D325" s="2" t="s">
        <v>784</v>
      </c>
      <c r="E325" s="2" t="s">
        <v>48</v>
      </c>
      <c r="F325" s="2" t="s">
        <v>787</v>
      </c>
      <c r="G325" s="2" t="s">
        <v>824</v>
      </c>
      <c r="H325" s="4"/>
      <c r="I325" s="51">
        <v>0</v>
      </c>
      <c r="J325" s="262">
        <f>3985*0.65</f>
        <v>2590.25</v>
      </c>
      <c r="K325" s="264">
        <v>0</v>
      </c>
      <c r="L325" s="3">
        <v>0</v>
      </c>
      <c r="M325" s="3">
        <f t="shared" si="142"/>
        <v>1670.7112499999998</v>
      </c>
      <c r="N325" s="3">
        <f t="shared" si="143"/>
        <v>2227.6149999999998</v>
      </c>
      <c r="O325" s="265">
        <f t="shared" si="154"/>
        <v>15036.401249999999</v>
      </c>
      <c r="P325" s="3">
        <v>0</v>
      </c>
      <c r="Q325" s="3">
        <v>0</v>
      </c>
      <c r="R325" s="3">
        <v>0</v>
      </c>
      <c r="S325" s="3">
        <f t="shared" si="137"/>
        <v>15036.401249999999</v>
      </c>
      <c r="T325" s="3">
        <f t="shared" si="138"/>
        <v>1503.6401249999999</v>
      </c>
      <c r="U325" s="3">
        <f t="shared" si="139"/>
        <v>751.82006249999995</v>
      </c>
      <c r="V325" s="3">
        <f t="shared" si="140"/>
        <v>6014.5604999999996</v>
      </c>
      <c r="W325" s="3">
        <f t="shared" ref="W325:W327" si="163">SUM(T325:V325)</f>
        <v>8270.0206875000003</v>
      </c>
      <c r="X325" s="3">
        <f t="shared" ref="X325:X327" si="164">SUM(S325:U325)</f>
        <v>17291.8614375</v>
      </c>
      <c r="Y325" s="3">
        <f t="shared" si="141"/>
        <v>23306.421937499999</v>
      </c>
      <c r="Z325" s="2">
        <v>5</v>
      </c>
    </row>
    <row r="326" spans="1:26" hidden="1" x14ac:dyDescent="0.25">
      <c r="B326" s="2" t="s">
        <v>789</v>
      </c>
      <c r="C326" s="2" t="s">
        <v>14</v>
      </c>
      <c r="D326" s="2" t="s">
        <v>785</v>
      </c>
      <c r="E326" s="2" t="s">
        <v>48</v>
      </c>
      <c r="F326" s="2" t="s">
        <v>787</v>
      </c>
      <c r="G326" s="2" t="s">
        <v>824</v>
      </c>
      <c r="H326" s="4"/>
      <c r="I326" s="51">
        <v>0</v>
      </c>
      <c r="J326" s="262">
        <f>4195*0.65</f>
        <v>2726.75</v>
      </c>
      <c r="K326" s="264">
        <v>0</v>
      </c>
      <c r="L326" s="3">
        <v>0</v>
      </c>
      <c r="M326" s="3">
        <f t="shared" si="142"/>
        <v>1758.7537499999999</v>
      </c>
      <c r="N326" s="3">
        <f t="shared" si="143"/>
        <v>2345.0050000000001</v>
      </c>
      <c r="O326" s="265">
        <f t="shared" si="154"/>
        <v>15828.783749999999</v>
      </c>
      <c r="P326" s="3">
        <v>0</v>
      </c>
      <c r="Q326" s="3">
        <v>0</v>
      </c>
      <c r="R326" s="3">
        <v>0</v>
      </c>
      <c r="S326" s="3">
        <f t="shared" si="137"/>
        <v>15828.783749999999</v>
      </c>
      <c r="T326" s="3">
        <f t="shared" si="138"/>
        <v>1582.878375</v>
      </c>
      <c r="U326" s="3">
        <f t="shared" si="139"/>
        <v>791.4391875</v>
      </c>
      <c r="V326" s="3">
        <f t="shared" si="140"/>
        <v>6331.5135</v>
      </c>
      <c r="W326" s="3">
        <f t="shared" si="163"/>
        <v>8705.8310624999995</v>
      </c>
      <c r="X326" s="3">
        <f t="shared" si="164"/>
        <v>18203.101312499999</v>
      </c>
      <c r="Y326" s="3">
        <f t="shared" si="141"/>
        <v>24534.614812499996</v>
      </c>
      <c r="Z326" s="2">
        <v>5</v>
      </c>
    </row>
    <row r="327" spans="1:26" hidden="1" x14ac:dyDescent="0.25">
      <c r="B327" s="2" t="s">
        <v>790</v>
      </c>
      <c r="C327" s="2" t="s">
        <v>14</v>
      </c>
      <c r="D327" s="2" t="s">
        <v>786</v>
      </c>
      <c r="E327" s="2" t="s">
        <v>48</v>
      </c>
      <c r="F327" s="2" t="s">
        <v>787</v>
      </c>
      <c r="G327" s="2" t="s">
        <v>824</v>
      </c>
      <c r="H327" s="4"/>
      <c r="I327" s="51">
        <v>0</v>
      </c>
      <c r="J327" s="262">
        <f>6100*0.65</f>
        <v>3965</v>
      </c>
      <c r="K327" s="264">
        <v>0</v>
      </c>
      <c r="L327" s="3">
        <v>0</v>
      </c>
      <c r="M327" s="3">
        <f t="shared" si="142"/>
        <v>2557.4249999999997</v>
      </c>
      <c r="N327" s="3">
        <f t="shared" si="143"/>
        <v>3409.9</v>
      </c>
      <c r="O327" s="265">
        <f t="shared" si="154"/>
        <v>23016.825000000001</v>
      </c>
      <c r="P327" s="3">
        <v>0</v>
      </c>
      <c r="Q327" s="3">
        <v>0</v>
      </c>
      <c r="R327" s="3">
        <v>0</v>
      </c>
      <c r="S327" s="3">
        <f t="shared" si="137"/>
        <v>23016.825000000001</v>
      </c>
      <c r="T327" s="3">
        <f t="shared" si="138"/>
        <v>2301.6825000000003</v>
      </c>
      <c r="U327" s="3">
        <f t="shared" si="139"/>
        <v>1150.8412500000002</v>
      </c>
      <c r="V327" s="3">
        <f t="shared" si="140"/>
        <v>9206.7300000000014</v>
      </c>
      <c r="W327" s="3">
        <f t="shared" si="163"/>
        <v>12659.253750000002</v>
      </c>
      <c r="X327" s="3">
        <f t="shared" si="164"/>
        <v>26469.348750000001</v>
      </c>
      <c r="Y327" s="3">
        <f t="shared" si="141"/>
        <v>35676.078750000001</v>
      </c>
      <c r="Z327" s="2">
        <v>5</v>
      </c>
    </row>
    <row r="328" spans="1:26" hidden="1" x14ac:dyDescent="0.25">
      <c r="B328" s="2" t="s">
        <v>881</v>
      </c>
      <c r="C328" s="2"/>
      <c r="D328" s="2"/>
      <c r="E328" s="2" t="s">
        <v>37</v>
      </c>
      <c r="F328" s="2" t="s">
        <v>37</v>
      </c>
      <c r="G328" s="2" t="s">
        <v>50</v>
      </c>
      <c r="H328" s="4"/>
      <c r="I328" s="51">
        <v>0</v>
      </c>
      <c r="J328" s="262">
        <v>0</v>
      </c>
      <c r="K328" s="264">
        <v>0</v>
      </c>
      <c r="L328" s="3">
        <v>3880</v>
      </c>
      <c r="M328" s="3">
        <f t="shared" ref="M328:M334" si="165">0.15*(I328*3.77+J328*4.3+K328*1.1)</f>
        <v>0</v>
      </c>
      <c r="N328" s="3">
        <f t="shared" ref="N328:N334" si="166">0.2*(I328*3.77+J328*4.3+K328*1.1)</f>
        <v>0</v>
      </c>
      <c r="O328" s="265">
        <f t="shared" ref="O328:O334" si="167">N328+M328+L328+1.1*K328+J328*4.3+I328*3.77</f>
        <v>3880</v>
      </c>
      <c r="P328" s="3">
        <v>0</v>
      </c>
      <c r="Q328" s="3">
        <v>0</v>
      </c>
      <c r="R328" s="3">
        <v>0</v>
      </c>
      <c r="S328" s="3">
        <f t="shared" ref="S328:S334" si="168">SUM(O328:R328)</f>
        <v>3880</v>
      </c>
      <c r="T328" s="3">
        <f t="shared" ref="T328:T334" si="169">0.1*S328</f>
        <v>388</v>
      </c>
      <c r="U328" s="3">
        <f t="shared" ref="U328:U334" si="170">0.05*S328</f>
        <v>194</v>
      </c>
      <c r="V328" s="3">
        <f t="shared" ref="V328:V334" si="171">0.4*S328</f>
        <v>1552</v>
      </c>
      <c r="W328" s="3">
        <f t="shared" ref="W328:W331" si="172">SUM(T328:V328)</f>
        <v>2134</v>
      </c>
      <c r="X328" s="3">
        <f t="shared" ref="X328:X331" si="173">SUM(S328:U328)</f>
        <v>4462</v>
      </c>
      <c r="Y328" s="3">
        <f t="shared" si="141"/>
        <v>6014</v>
      </c>
      <c r="Z328" s="2">
        <v>5</v>
      </c>
    </row>
    <row r="329" spans="1:26" hidden="1" x14ac:dyDescent="0.25">
      <c r="B329" s="2" t="s">
        <v>882</v>
      </c>
      <c r="C329" s="2"/>
      <c r="D329" s="2"/>
      <c r="E329" s="2" t="s">
        <v>37</v>
      </c>
      <c r="F329" s="2" t="s">
        <v>37</v>
      </c>
      <c r="G329" s="2" t="s">
        <v>50</v>
      </c>
      <c r="H329" s="4"/>
      <c r="I329" s="51">
        <v>0</v>
      </c>
      <c r="J329" s="262">
        <v>0</v>
      </c>
      <c r="K329" s="264">
        <v>0</v>
      </c>
      <c r="L329" s="3">
        <v>6200</v>
      </c>
      <c r="M329" s="3">
        <f t="shared" si="165"/>
        <v>0</v>
      </c>
      <c r="N329" s="3">
        <f t="shared" si="166"/>
        <v>0</v>
      </c>
      <c r="O329" s="265">
        <f t="shared" si="167"/>
        <v>6200</v>
      </c>
      <c r="P329" s="3">
        <v>0</v>
      </c>
      <c r="Q329" s="3">
        <v>0</v>
      </c>
      <c r="R329" s="3">
        <v>0</v>
      </c>
      <c r="S329" s="3">
        <f t="shared" si="168"/>
        <v>6200</v>
      </c>
      <c r="T329" s="3">
        <f t="shared" si="169"/>
        <v>620</v>
      </c>
      <c r="U329" s="3">
        <f t="shared" si="170"/>
        <v>310</v>
      </c>
      <c r="V329" s="3">
        <f t="shared" si="171"/>
        <v>2480</v>
      </c>
      <c r="W329" s="3">
        <f t="shared" si="172"/>
        <v>3410</v>
      </c>
      <c r="X329" s="3">
        <f t="shared" si="173"/>
        <v>7130</v>
      </c>
      <c r="Y329" s="3">
        <f t="shared" si="141"/>
        <v>9610</v>
      </c>
      <c r="Z329" s="2">
        <v>5</v>
      </c>
    </row>
    <row r="330" spans="1:26" hidden="1" x14ac:dyDescent="0.25">
      <c r="B330" s="2" t="s">
        <v>883</v>
      </c>
      <c r="C330" s="2"/>
      <c r="D330" s="2"/>
      <c r="E330" s="2" t="s">
        <v>37</v>
      </c>
      <c r="F330" s="2" t="s">
        <v>37</v>
      </c>
      <c r="G330" s="2" t="s">
        <v>50</v>
      </c>
      <c r="H330" s="4"/>
      <c r="I330" s="51">
        <v>0</v>
      </c>
      <c r="J330" s="262">
        <v>0</v>
      </c>
      <c r="K330" s="264">
        <v>0</v>
      </c>
      <c r="L330" s="3">
        <v>2000</v>
      </c>
      <c r="M330" s="3">
        <f t="shared" si="165"/>
        <v>0</v>
      </c>
      <c r="N330" s="3">
        <f t="shared" si="166"/>
        <v>0</v>
      </c>
      <c r="O330" s="265">
        <f t="shared" si="167"/>
        <v>2000</v>
      </c>
      <c r="P330" s="3">
        <v>0</v>
      </c>
      <c r="Q330" s="3">
        <v>0</v>
      </c>
      <c r="R330" s="3">
        <v>0</v>
      </c>
      <c r="S330" s="3">
        <f t="shared" si="168"/>
        <v>2000</v>
      </c>
      <c r="T330" s="3">
        <f t="shared" si="169"/>
        <v>200</v>
      </c>
      <c r="U330" s="3">
        <f t="shared" si="170"/>
        <v>100</v>
      </c>
      <c r="V330" s="3">
        <f t="shared" si="171"/>
        <v>800</v>
      </c>
      <c r="W330" s="3">
        <f t="shared" si="172"/>
        <v>1100</v>
      </c>
      <c r="X330" s="3">
        <f t="shared" si="173"/>
        <v>2300</v>
      </c>
      <c r="Y330" s="3">
        <f t="shared" si="141"/>
        <v>3100</v>
      </c>
      <c r="Z330" s="2">
        <v>5</v>
      </c>
    </row>
    <row r="331" spans="1:26" hidden="1" x14ac:dyDescent="0.25">
      <c r="B331" s="2" t="s">
        <v>884</v>
      </c>
      <c r="C331" s="2"/>
      <c r="D331" s="2"/>
      <c r="E331" s="2" t="s">
        <v>37</v>
      </c>
      <c r="F331" s="2" t="s">
        <v>37</v>
      </c>
      <c r="G331" s="2" t="s">
        <v>50</v>
      </c>
      <c r="H331" s="4"/>
      <c r="I331" s="51">
        <v>0</v>
      </c>
      <c r="J331" s="262">
        <v>0</v>
      </c>
      <c r="K331" s="264">
        <v>0</v>
      </c>
      <c r="L331" s="3">
        <v>5000</v>
      </c>
      <c r="M331" s="3">
        <f t="shared" si="165"/>
        <v>0</v>
      </c>
      <c r="N331" s="3">
        <f t="shared" si="166"/>
        <v>0</v>
      </c>
      <c r="O331" s="265">
        <f t="shared" si="167"/>
        <v>5000</v>
      </c>
      <c r="P331" s="3">
        <v>0</v>
      </c>
      <c r="Q331" s="3">
        <v>0</v>
      </c>
      <c r="R331" s="3">
        <v>0</v>
      </c>
      <c r="S331" s="3">
        <f t="shared" si="168"/>
        <v>5000</v>
      </c>
      <c r="T331" s="3">
        <f t="shared" si="169"/>
        <v>500</v>
      </c>
      <c r="U331" s="3">
        <f t="shared" si="170"/>
        <v>250</v>
      </c>
      <c r="V331" s="3">
        <f t="shared" si="171"/>
        <v>2000</v>
      </c>
      <c r="W331" s="3">
        <f t="shared" si="172"/>
        <v>2750</v>
      </c>
      <c r="X331" s="3">
        <f t="shared" si="173"/>
        <v>5750</v>
      </c>
      <c r="Y331" s="3">
        <f t="shared" si="141"/>
        <v>7750</v>
      </c>
      <c r="Z331" s="2">
        <v>5</v>
      </c>
    </row>
    <row r="332" spans="1:26" hidden="1" x14ac:dyDescent="0.25">
      <c r="B332" s="2" t="s">
        <v>886</v>
      </c>
      <c r="C332" s="2"/>
      <c r="D332" s="2"/>
      <c r="E332" s="2" t="s">
        <v>12</v>
      </c>
      <c r="F332" s="2" t="s">
        <v>442</v>
      </c>
      <c r="G332" s="2" t="s">
        <v>50</v>
      </c>
      <c r="H332" s="4"/>
      <c r="I332" s="51"/>
      <c r="J332" s="262"/>
      <c r="K332" s="264"/>
      <c r="L332" s="3">
        <v>11500</v>
      </c>
      <c r="M332" s="3">
        <f t="shared" si="165"/>
        <v>0</v>
      </c>
      <c r="N332" s="3">
        <f t="shared" si="166"/>
        <v>0</v>
      </c>
      <c r="O332" s="265">
        <f t="shared" si="167"/>
        <v>11500</v>
      </c>
      <c r="P332" s="3">
        <v>0</v>
      </c>
      <c r="Q332" s="3">
        <v>0</v>
      </c>
      <c r="R332" s="3">
        <v>0</v>
      </c>
      <c r="S332" s="3">
        <f t="shared" si="168"/>
        <v>11500</v>
      </c>
      <c r="T332" s="3">
        <f t="shared" si="169"/>
        <v>1150</v>
      </c>
      <c r="U332" s="3">
        <f t="shared" si="170"/>
        <v>575</v>
      </c>
      <c r="V332" s="3">
        <f t="shared" si="171"/>
        <v>4600</v>
      </c>
      <c r="W332" s="3">
        <f t="shared" ref="W332:W334" si="174">SUM(T332:V332)</f>
        <v>6325</v>
      </c>
      <c r="X332" s="3">
        <f t="shared" ref="X332:X340" si="175">SUM(S332:U332)</f>
        <v>13225</v>
      </c>
      <c r="Y332" s="3">
        <f t="shared" si="141"/>
        <v>17825</v>
      </c>
      <c r="Z332" s="2">
        <v>5</v>
      </c>
    </row>
    <row r="333" spans="1:26" hidden="1" x14ac:dyDescent="0.25">
      <c r="B333" s="2" t="s">
        <v>887</v>
      </c>
      <c r="C333" s="2"/>
      <c r="D333" s="2"/>
      <c r="E333" s="2" t="s">
        <v>12</v>
      </c>
      <c r="F333" s="2" t="s">
        <v>442</v>
      </c>
      <c r="G333" s="2" t="s">
        <v>50</v>
      </c>
      <c r="H333" s="4"/>
      <c r="I333" s="51"/>
      <c r="J333" s="262"/>
      <c r="K333" s="264"/>
      <c r="L333" s="3">
        <v>12500</v>
      </c>
      <c r="M333" s="3">
        <f t="shared" si="165"/>
        <v>0</v>
      </c>
      <c r="N333" s="3">
        <f t="shared" si="166"/>
        <v>0</v>
      </c>
      <c r="O333" s="265">
        <f t="shared" si="167"/>
        <v>12500</v>
      </c>
      <c r="P333" s="3">
        <v>0</v>
      </c>
      <c r="Q333" s="3">
        <v>0</v>
      </c>
      <c r="R333" s="3">
        <v>0</v>
      </c>
      <c r="S333" s="3">
        <f t="shared" si="168"/>
        <v>12500</v>
      </c>
      <c r="T333" s="3">
        <f t="shared" si="169"/>
        <v>1250</v>
      </c>
      <c r="U333" s="3">
        <f t="shared" si="170"/>
        <v>625</v>
      </c>
      <c r="V333" s="3">
        <f t="shared" si="171"/>
        <v>5000</v>
      </c>
      <c r="W333" s="3">
        <f t="shared" si="174"/>
        <v>6875</v>
      </c>
      <c r="X333" s="3">
        <f t="shared" si="175"/>
        <v>14375</v>
      </c>
      <c r="Y333" s="3">
        <f t="shared" si="141"/>
        <v>19375</v>
      </c>
      <c r="Z333" s="2">
        <v>5</v>
      </c>
    </row>
    <row r="334" spans="1:26" hidden="1" x14ac:dyDescent="0.25">
      <c r="B334" s="2" t="s">
        <v>888</v>
      </c>
      <c r="C334" s="2"/>
      <c r="D334" s="2"/>
      <c r="E334" s="2" t="s">
        <v>12</v>
      </c>
      <c r="F334" s="2" t="s">
        <v>442</v>
      </c>
      <c r="G334" s="2" t="s">
        <v>50</v>
      </c>
      <c r="H334" s="4"/>
      <c r="I334" s="51"/>
      <c r="J334" s="262"/>
      <c r="K334" s="264"/>
      <c r="L334" s="3">
        <v>13500</v>
      </c>
      <c r="M334" s="3">
        <f t="shared" si="165"/>
        <v>0</v>
      </c>
      <c r="N334" s="3">
        <f t="shared" si="166"/>
        <v>0</v>
      </c>
      <c r="O334" s="265">
        <f t="shared" si="167"/>
        <v>13500</v>
      </c>
      <c r="P334" s="3">
        <v>0</v>
      </c>
      <c r="Q334" s="3">
        <v>0</v>
      </c>
      <c r="R334" s="3">
        <v>0</v>
      </c>
      <c r="S334" s="3">
        <f t="shared" si="168"/>
        <v>13500</v>
      </c>
      <c r="T334" s="3">
        <f t="shared" si="169"/>
        <v>1350</v>
      </c>
      <c r="U334" s="3">
        <f t="shared" si="170"/>
        <v>675</v>
      </c>
      <c r="V334" s="3">
        <f t="shared" si="171"/>
        <v>5400</v>
      </c>
      <c r="W334" s="3">
        <f t="shared" si="174"/>
        <v>7425</v>
      </c>
      <c r="X334" s="3">
        <f t="shared" si="175"/>
        <v>15525</v>
      </c>
      <c r="Y334" s="3">
        <f t="shared" si="141"/>
        <v>20925</v>
      </c>
      <c r="Z334" s="2">
        <v>5</v>
      </c>
    </row>
    <row r="335" spans="1:26" hidden="1" x14ac:dyDescent="0.25">
      <c r="A335" s="2"/>
      <c r="B335" s="2" t="s">
        <v>901</v>
      </c>
      <c r="C335" s="2"/>
      <c r="D335" s="2"/>
      <c r="E335" s="2"/>
      <c r="F335" s="2"/>
      <c r="G335" s="2"/>
      <c r="H335" s="4"/>
      <c r="I335" s="51">
        <v>1367.24</v>
      </c>
      <c r="J335" s="262">
        <v>0</v>
      </c>
      <c r="K335" s="264">
        <v>0</v>
      </c>
      <c r="L335" s="5">
        <v>0</v>
      </c>
      <c r="M335" s="3">
        <f t="shared" ref="M335:M340" si="176">0.15*(I335*3.77+J335*4.3+K335*1.1)</f>
        <v>773.17421999999999</v>
      </c>
      <c r="N335" s="3">
        <f t="shared" ref="N335:N340" si="177">0.2*(I335*3.77+J335*4.3+K335*1.1)</f>
        <v>1030.8989600000002</v>
      </c>
      <c r="O335" s="265">
        <f t="shared" ref="O335:O340" si="178">N335+M335+L335+1.1*K335+J335*4.3+I335*3.77</f>
        <v>6958.5679800000007</v>
      </c>
      <c r="P335" s="3">
        <v>0</v>
      </c>
      <c r="Q335" s="3">
        <v>0</v>
      </c>
      <c r="R335" s="3">
        <v>0</v>
      </c>
      <c r="S335" s="3">
        <f t="shared" ref="S335:S340" si="179">SUM(O335:R335)</f>
        <v>6958.5679800000007</v>
      </c>
      <c r="T335" s="3">
        <f t="shared" ref="T335:T340" si="180">0.1*S335</f>
        <v>695.85679800000014</v>
      </c>
      <c r="U335" s="3">
        <f t="shared" ref="U335:U340" si="181">0.05*S335</f>
        <v>347.92839900000007</v>
      </c>
      <c r="V335" s="3">
        <f t="shared" ref="V335:V340" si="182">0.4*S335</f>
        <v>2783.4271920000006</v>
      </c>
      <c r="W335" s="3">
        <f t="shared" ref="W335:W340" si="183">SUM(T335:V335)</f>
        <v>3827.2123890000007</v>
      </c>
      <c r="X335" s="3">
        <f t="shared" si="175"/>
        <v>8002.3531770000009</v>
      </c>
      <c r="Y335" s="3">
        <f t="shared" si="141"/>
        <v>10785.780369000002</v>
      </c>
      <c r="Z335" s="2">
        <v>2</v>
      </c>
    </row>
    <row r="336" spans="1:26" hidden="1" x14ac:dyDescent="0.25">
      <c r="A336" s="2"/>
      <c r="B336" s="2" t="s">
        <v>902</v>
      </c>
      <c r="C336" s="2"/>
      <c r="D336" s="2"/>
      <c r="E336" s="2"/>
      <c r="F336" s="2"/>
      <c r="G336" s="2"/>
      <c r="H336" s="4"/>
      <c r="I336" s="51">
        <v>2710.52</v>
      </c>
      <c r="J336" s="262">
        <v>0</v>
      </c>
      <c r="K336" s="264">
        <v>0</v>
      </c>
      <c r="L336" s="5">
        <v>0</v>
      </c>
      <c r="M336" s="3">
        <f t="shared" si="176"/>
        <v>1532.7990600000001</v>
      </c>
      <c r="N336" s="3">
        <f t="shared" si="177"/>
        <v>2043.7320800000002</v>
      </c>
      <c r="O336" s="265">
        <f t="shared" si="178"/>
        <v>13795.19154</v>
      </c>
      <c r="P336" s="3">
        <v>0</v>
      </c>
      <c r="Q336" s="3">
        <v>0</v>
      </c>
      <c r="R336" s="3">
        <v>0</v>
      </c>
      <c r="S336" s="3">
        <f t="shared" si="179"/>
        <v>13795.19154</v>
      </c>
      <c r="T336" s="3">
        <f t="shared" si="180"/>
        <v>1379.5191540000001</v>
      </c>
      <c r="U336" s="3">
        <f t="shared" si="181"/>
        <v>689.75957700000004</v>
      </c>
      <c r="V336" s="3">
        <f t="shared" si="182"/>
        <v>5518.0766160000003</v>
      </c>
      <c r="W336" s="3">
        <f t="shared" si="183"/>
        <v>7587.3553470000006</v>
      </c>
      <c r="X336" s="3">
        <f t="shared" si="175"/>
        <v>15864.470271</v>
      </c>
      <c r="Y336" s="3">
        <f t="shared" si="141"/>
        <v>21382.546887</v>
      </c>
      <c r="Z336" s="2">
        <v>2</v>
      </c>
    </row>
    <row r="337" spans="1:26" hidden="1" x14ac:dyDescent="0.25">
      <c r="A337" s="2"/>
      <c r="B337" s="2" t="s">
        <v>903</v>
      </c>
      <c r="C337" s="2"/>
      <c r="D337" s="2"/>
      <c r="E337" s="2"/>
      <c r="F337" s="2"/>
      <c r="G337" s="2"/>
      <c r="H337" s="4"/>
      <c r="I337" s="51">
        <v>2710.52</v>
      </c>
      <c r="J337" s="262">
        <v>0</v>
      </c>
      <c r="K337" s="264">
        <v>0</v>
      </c>
      <c r="L337" s="5">
        <v>0</v>
      </c>
      <c r="M337" s="3">
        <f t="shared" si="176"/>
        <v>1532.7990600000001</v>
      </c>
      <c r="N337" s="3">
        <f t="shared" si="177"/>
        <v>2043.7320800000002</v>
      </c>
      <c r="O337" s="265">
        <f t="shared" si="178"/>
        <v>13795.19154</v>
      </c>
      <c r="P337" s="3">
        <v>0</v>
      </c>
      <c r="Q337" s="3">
        <v>0</v>
      </c>
      <c r="R337" s="3">
        <v>0</v>
      </c>
      <c r="S337" s="3">
        <f t="shared" si="179"/>
        <v>13795.19154</v>
      </c>
      <c r="T337" s="3">
        <f t="shared" si="180"/>
        <v>1379.5191540000001</v>
      </c>
      <c r="U337" s="3">
        <f t="shared" si="181"/>
        <v>689.75957700000004</v>
      </c>
      <c r="V337" s="3">
        <f t="shared" si="182"/>
        <v>5518.0766160000003</v>
      </c>
      <c r="W337" s="3">
        <f t="shared" si="183"/>
        <v>7587.3553470000006</v>
      </c>
      <c r="X337" s="3">
        <f t="shared" si="175"/>
        <v>15864.470271</v>
      </c>
      <c r="Y337" s="3">
        <f t="shared" si="141"/>
        <v>21382.546887</v>
      </c>
      <c r="Z337" s="2">
        <v>2.5</v>
      </c>
    </row>
    <row r="338" spans="1:26" hidden="1" x14ac:dyDescent="0.25">
      <c r="A338" s="2"/>
      <c r="B338" s="2" t="s">
        <v>904</v>
      </c>
      <c r="C338" s="2"/>
      <c r="D338" s="2"/>
      <c r="E338" s="2"/>
      <c r="F338" s="2"/>
      <c r="G338" s="2"/>
      <c r="H338" s="4"/>
      <c r="I338" s="51">
        <v>3586.51</v>
      </c>
      <c r="J338" s="262">
        <v>0</v>
      </c>
      <c r="K338" s="264">
        <v>0</v>
      </c>
      <c r="L338" s="5">
        <v>0</v>
      </c>
      <c r="M338" s="3">
        <f t="shared" si="176"/>
        <v>2028.171405</v>
      </c>
      <c r="N338" s="3">
        <f t="shared" si="177"/>
        <v>2704.2285400000001</v>
      </c>
      <c r="O338" s="265">
        <f t="shared" si="178"/>
        <v>18253.542645000001</v>
      </c>
      <c r="P338" s="3">
        <v>0</v>
      </c>
      <c r="Q338" s="3">
        <v>0</v>
      </c>
      <c r="R338" s="3">
        <v>0</v>
      </c>
      <c r="S338" s="3">
        <f t="shared" si="179"/>
        <v>18253.542645000001</v>
      </c>
      <c r="T338" s="3">
        <f t="shared" si="180"/>
        <v>1825.3542645000002</v>
      </c>
      <c r="U338" s="3">
        <f t="shared" si="181"/>
        <v>912.67713225000011</v>
      </c>
      <c r="V338" s="3">
        <f t="shared" si="182"/>
        <v>7301.4170580000009</v>
      </c>
      <c r="W338" s="3">
        <f t="shared" si="183"/>
        <v>10039.448454750001</v>
      </c>
      <c r="X338" s="3">
        <f t="shared" si="175"/>
        <v>20991.574041750002</v>
      </c>
      <c r="Y338" s="3">
        <f t="shared" si="141"/>
        <v>28292.991099750005</v>
      </c>
      <c r="Z338" s="2">
        <v>2.5</v>
      </c>
    </row>
    <row r="339" spans="1:26" hidden="1" x14ac:dyDescent="0.25">
      <c r="A339" s="2"/>
      <c r="B339" s="2" t="s">
        <v>905</v>
      </c>
      <c r="C339" s="2"/>
      <c r="D339" s="2"/>
      <c r="E339" s="2"/>
      <c r="F339" s="2"/>
      <c r="G339" s="2"/>
      <c r="H339" s="4"/>
      <c r="I339" s="51">
        <v>6627.45</v>
      </c>
      <c r="J339" s="262">
        <v>0</v>
      </c>
      <c r="K339" s="264">
        <v>0</v>
      </c>
      <c r="L339" s="5">
        <v>0</v>
      </c>
      <c r="M339" s="3">
        <f t="shared" si="176"/>
        <v>3747.8229749999996</v>
      </c>
      <c r="N339" s="3">
        <f t="shared" si="177"/>
        <v>4997.0973000000004</v>
      </c>
      <c r="O339" s="265">
        <f t="shared" si="178"/>
        <v>33730.406774999996</v>
      </c>
      <c r="P339" s="3">
        <v>0</v>
      </c>
      <c r="Q339" s="3">
        <v>0</v>
      </c>
      <c r="R339" s="3">
        <v>0</v>
      </c>
      <c r="S339" s="3">
        <f t="shared" si="179"/>
        <v>33730.406774999996</v>
      </c>
      <c r="T339" s="3">
        <f t="shared" si="180"/>
        <v>3373.0406774999997</v>
      </c>
      <c r="U339" s="3">
        <f t="shared" si="181"/>
        <v>1686.5203387499998</v>
      </c>
      <c r="V339" s="3">
        <f t="shared" si="182"/>
        <v>13492.162709999999</v>
      </c>
      <c r="W339" s="3">
        <f t="shared" si="183"/>
        <v>18551.723726249998</v>
      </c>
      <c r="X339" s="3">
        <f t="shared" si="175"/>
        <v>38789.967791249997</v>
      </c>
      <c r="Y339" s="3">
        <f t="shared" si="141"/>
        <v>52282.130501249994</v>
      </c>
      <c r="Z339" s="2">
        <v>5</v>
      </c>
    </row>
    <row r="340" spans="1:26" hidden="1" x14ac:dyDescent="0.25">
      <c r="A340" s="2"/>
      <c r="B340" s="2" t="s">
        <v>906</v>
      </c>
      <c r="C340" s="2"/>
      <c r="D340" s="2"/>
      <c r="E340" s="2"/>
      <c r="F340" s="2"/>
      <c r="G340" s="2"/>
      <c r="H340" s="4"/>
      <c r="I340" s="51">
        <v>10108.700000000001</v>
      </c>
      <c r="J340" s="262">
        <v>0</v>
      </c>
      <c r="K340" s="264">
        <v>0</v>
      </c>
      <c r="L340" s="5">
        <v>0</v>
      </c>
      <c r="M340" s="3">
        <f t="shared" si="176"/>
        <v>5716.4698500000004</v>
      </c>
      <c r="N340" s="3">
        <f t="shared" si="177"/>
        <v>7621.9598000000015</v>
      </c>
      <c r="O340" s="265">
        <f t="shared" si="178"/>
        <v>51448.228650000005</v>
      </c>
      <c r="P340" s="3">
        <v>0</v>
      </c>
      <c r="Q340" s="3">
        <v>0</v>
      </c>
      <c r="R340" s="3">
        <v>0</v>
      </c>
      <c r="S340" s="3">
        <f t="shared" si="179"/>
        <v>51448.228650000005</v>
      </c>
      <c r="T340" s="3">
        <f t="shared" si="180"/>
        <v>5144.822865000001</v>
      </c>
      <c r="U340" s="3">
        <f t="shared" si="181"/>
        <v>2572.4114325000005</v>
      </c>
      <c r="V340" s="3">
        <f t="shared" si="182"/>
        <v>20579.291460000004</v>
      </c>
      <c r="W340" s="3">
        <f t="shared" si="183"/>
        <v>28296.525757500007</v>
      </c>
      <c r="X340" s="3">
        <f t="shared" si="175"/>
        <v>59165.462947500004</v>
      </c>
      <c r="Y340" s="3">
        <f t="shared" si="141"/>
        <v>79744.754407500004</v>
      </c>
      <c r="Z340" s="2">
        <v>6</v>
      </c>
    </row>
    <row r="341" spans="1:26" hidden="1" x14ac:dyDescent="0.25">
      <c r="A341" s="2"/>
      <c r="B341" s="2" t="s">
        <v>909</v>
      </c>
      <c r="C341" s="2"/>
      <c r="D341" s="2"/>
      <c r="E341" s="2"/>
      <c r="F341" s="2"/>
      <c r="G341" s="2"/>
      <c r="H341" s="4"/>
      <c r="I341" s="51">
        <v>135.44</v>
      </c>
      <c r="J341" s="262">
        <v>0</v>
      </c>
      <c r="K341" s="264">
        <v>0</v>
      </c>
      <c r="L341" s="5">
        <v>0</v>
      </c>
      <c r="M341" s="3">
        <f t="shared" ref="M341" si="184">0.15*(I341*3.77+J341*4.3+K341*1.1)</f>
        <v>76.591319999999996</v>
      </c>
      <c r="N341" s="3">
        <f t="shared" ref="N341:N342" si="185">0.2*(I341*3.77+J341*4.3+K341*1.1)</f>
        <v>102.12175999999999</v>
      </c>
      <c r="O341" s="265">
        <f t="shared" ref="O341" si="186">N341+M341+L341+1.1*K341+J341*4.3+I341*3.77</f>
        <v>689.32187999999996</v>
      </c>
      <c r="P341" s="3">
        <v>0</v>
      </c>
      <c r="Q341" s="3">
        <v>0</v>
      </c>
      <c r="R341" s="3">
        <v>0</v>
      </c>
      <c r="S341" s="3">
        <f t="shared" ref="S341" si="187">SUM(O341:R341)</f>
        <v>689.32187999999996</v>
      </c>
      <c r="T341" s="3">
        <f t="shared" ref="T341" si="188">0.1*S341</f>
        <v>68.932187999999996</v>
      </c>
      <c r="U341" s="3">
        <f t="shared" ref="U341" si="189">0.05*S341</f>
        <v>34.466093999999998</v>
      </c>
      <c r="V341" s="3">
        <f t="shared" ref="V341" si="190">0.4*S341</f>
        <v>275.72875199999999</v>
      </c>
      <c r="W341" s="3">
        <f t="shared" ref="W341" si="191">SUM(T341:V341)</f>
        <v>379.12703399999998</v>
      </c>
      <c r="X341" s="3">
        <f t="shared" ref="X341" si="192">SUM(S341:U341)</f>
        <v>792.72016199999996</v>
      </c>
      <c r="Y341" s="3">
        <f t="shared" si="141"/>
        <v>1068.4489140000001</v>
      </c>
      <c r="Z341" s="2">
        <v>2</v>
      </c>
    </row>
    <row r="342" spans="1:26" hidden="1" x14ac:dyDescent="0.25">
      <c r="A342" s="2"/>
      <c r="B342" s="2" t="s">
        <v>910</v>
      </c>
      <c r="C342" s="2"/>
      <c r="D342" s="2"/>
      <c r="E342" s="2"/>
      <c r="F342" s="2"/>
      <c r="G342" s="2"/>
      <c r="H342" s="4"/>
      <c r="I342" s="51">
        <v>198.94</v>
      </c>
      <c r="J342" s="262">
        <v>0</v>
      </c>
      <c r="K342" s="264">
        <v>0</v>
      </c>
      <c r="L342" s="5">
        <v>0</v>
      </c>
      <c r="M342" s="3">
        <f t="shared" ref="M342" si="193">0.15*(I342*3.77+J342*4.3+K342*1.1)</f>
        <v>112.50057</v>
      </c>
      <c r="N342" s="3">
        <f t="shared" si="185"/>
        <v>150.00075999999999</v>
      </c>
      <c r="O342" s="265">
        <f t="shared" ref="O342" si="194">N342+M342+L342+1.1*K342+J342*4.3+I342*3.77</f>
        <v>1012.50513</v>
      </c>
      <c r="P342" s="3">
        <v>0</v>
      </c>
      <c r="Q342" s="3">
        <v>0</v>
      </c>
      <c r="R342" s="3">
        <v>0</v>
      </c>
      <c r="S342" s="3">
        <f t="shared" ref="S342" si="195">SUM(O342:R342)</f>
        <v>1012.50513</v>
      </c>
      <c r="T342" s="3">
        <f t="shared" ref="T342" si="196">0.1*S342</f>
        <v>101.25051300000001</v>
      </c>
      <c r="U342" s="3">
        <f t="shared" ref="U342" si="197">0.05*S342</f>
        <v>50.625256500000006</v>
      </c>
      <c r="V342" s="3">
        <f t="shared" ref="V342" si="198">0.4*S342</f>
        <v>405.00205200000005</v>
      </c>
      <c r="W342" s="3">
        <f t="shared" ref="W342" si="199">SUM(T342:V342)</f>
        <v>556.8778215000001</v>
      </c>
      <c r="X342" s="3">
        <f t="shared" ref="X342" si="200">SUM(S342:U342)</f>
        <v>1164.3808994999999</v>
      </c>
      <c r="Y342" s="3">
        <f t="shared" ref="Y342" si="201">(W342+S342)*(1-$AB$1)</f>
        <v>1569.3829515000002</v>
      </c>
      <c r="Z342" s="2">
        <v>2</v>
      </c>
    </row>
  </sheetData>
  <autoFilter ref="A1:Z342" xr:uid="{00000000-0001-0000-0000-000000000000}">
    <filterColumn colId="1">
      <filters>
        <filter val="Storage Tank Storage Tank Cylindrical DW Steel Above Ground UL 142 10000 L  Al Ayash"/>
        <filter val="Storage Tank Storage Tank Cylindrical DW Steel Above Ground UL 142 100000 L  Al Ayash"/>
        <filter val="Storage Tank Storage Tank Cylindrical DW Steel Above Ground UL 142 11000 L  Al Ayash"/>
        <filter val="Storage Tank Storage Tank Cylindrical DW Steel Above Ground UL 142 12500 L  Al Ayash"/>
        <filter val="Storage Tank Storage Tank Cylindrical DW Steel Above Ground UL 142 13500 L  Al Ayash"/>
        <filter val="Storage Tank Storage Tank Cylindrical DW Steel Above Ground UL 142 15000 L  Al Ayash"/>
        <filter val="Storage Tank Storage Tank Cylindrical DW Steel Above Ground UL 142 16000 L  Al Ayash"/>
        <filter val="Storage Tank Storage Tank Cylindrical DW Steel Above Ground UL 142 17000 L  Al Ayash"/>
        <filter val="Storage Tank Storage Tank Cylindrical DW Steel Above Ground UL 142 20000 L  Al Ayash"/>
        <filter val="Storage Tank Storage Tank Cylindrical DW Steel Above Ground UL 142 22000 L  Al Ayash"/>
        <filter val="Storage Tank Storage Tank Cylindrical DW Steel Above Ground UL 142 2500 L  Al Ayash"/>
        <filter val="Storage Tank Storage Tank Cylindrical DW Steel Above Ground UL 142 25000 L  Al Ayash"/>
        <filter val="Storage Tank Storage Tank Cylindrical DW Steel Above Ground UL 142 27000 L  Al Ayash"/>
        <filter val="Storage Tank Storage Tank Cylindrical DW Steel Above Ground UL 142 3500 L  Al Ayash"/>
        <filter val="Storage Tank Storage Tank Cylindrical DW Steel Above Ground UL 142 35000 L  Al Ayash"/>
        <filter val="Storage Tank Storage Tank Cylindrical DW Steel Above Ground UL 142 40000 L  Al Ayash"/>
        <filter val="Storage Tank Storage Tank Cylindrical DW Steel Above Ground UL 142 45000 L  Al Ayash"/>
        <filter val="Storage Tank Storage Tank Cylindrical DW Steel Above Ground UL 142 5000 L  Al Ayash"/>
        <filter val="Storage Tank Storage Tank Cylindrical DW Steel Above Ground UL 142 6000 L  Al Ayash"/>
        <filter val="Storage Tank Storage Tank Cylindrical DW Steel Above Ground UL 142 7000 L  Al Ayash"/>
        <filter val="Storage Tank Storage Tank Cylindrical DW Steel Above Ground UL 142 8000 L  Al Ayash"/>
        <filter val="Storage Tank Storage Tank Cylindrical DW Steel Above Ground UL 142 90000 L  Al Ayash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540BF-9AA3-4359-8357-D510E7320129}">
  <dimension ref="A1:Q279"/>
  <sheetViews>
    <sheetView zoomScale="70" zoomScaleNormal="70" workbookViewId="0">
      <selection activeCell="O93" sqref="O93:O103"/>
    </sheetView>
  </sheetViews>
  <sheetFormatPr defaultRowHeight="15" x14ac:dyDescent="0.25"/>
  <cols>
    <col min="1" max="1" width="33.28515625" style="42" customWidth="1"/>
    <col min="2" max="2" width="23" style="42" customWidth="1"/>
    <col min="3" max="3" width="74.7109375" style="42" customWidth="1"/>
    <col min="4" max="4" width="35" style="42" customWidth="1"/>
    <col min="5" max="5" width="54.7109375" style="42" customWidth="1"/>
    <col min="6" max="6" width="43.140625" style="42" customWidth="1"/>
    <col min="7" max="7" width="29.28515625" style="42" customWidth="1"/>
    <col min="8" max="8" width="9.140625" style="42"/>
    <col min="9" max="9" width="16.85546875" style="42" customWidth="1"/>
    <col min="10" max="10" width="31" style="42" customWidth="1"/>
    <col min="11" max="13" width="30.140625" customWidth="1"/>
    <col min="14" max="14" width="67.85546875" customWidth="1"/>
    <col min="15" max="15" width="73.5703125" customWidth="1"/>
    <col min="16" max="17" width="44.42578125" customWidth="1"/>
  </cols>
  <sheetData>
    <row r="1" spans="1:6" ht="39.75" customHeight="1" x14ac:dyDescent="0.25">
      <c r="A1" s="39" t="s">
        <v>304</v>
      </c>
      <c r="B1" s="39" t="s">
        <v>348</v>
      </c>
      <c r="C1"/>
      <c r="D1" s="225" t="s">
        <v>88</v>
      </c>
      <c r="E1"/>
      <c r="F1"/>
    </row>
    <row r="2" spans="1:6" x14ac:dyDescent="0.25">
      <c r="A2" s="223" t="s">
        <v>89</v>
      </c>
      <c r="B2" s="223" t="s">
        <v>344</v>
      </c>
      <c r="C2"/>
      <c r="D2" s="226" t="s">
        <v>675</v>
      </c>
      <c r="E2"/>
      <c r="F2"/>
    </row>
    <row r="3" spans="1:6" x14ac:dyDescent="0.25">
      <c r="A3" s="223" t="s">
        <v>91</v>
      </c>
      <c r="B3" s="223" t="s">
        <v>344</v>
      </c>
      <c r="C3"/>
      <c r="D3" s="226" t="s">
        <v>869</v>
      </c>
      <c r="E3"/>
      <c r="F3"/>
    </row>
    <row r="4" spans="1:6" x14ac:dyDescent="0.25">
      <c r="A4" s="226" t="s">
        <v>573</v>
      </c>
      <c r="B4" s="223" t="s">
        <v>344</v>
      </c>
      <c r="C4"/>
      <c r="D4" s="226" t="s">
        <v>65</v>
      </c>
      <c r="E4"/>
      <c r="F4"/>
    </row>
    <row r="5" spans="1:6" x14ac:dyDescent="0.25">
      <c r="A5" s="223" t="s">
        <v>574</v>
      </c>
      <c r="B5" s="223" t="s">
        <v>344</v>
      </c>
      <c r="C5"/>
      <c r="D5" s="226" t="s">
        <v>66</v>
      </c>
      <c r="E5"/>
      <c r="F5"/>
    </row>
    <row r="6" spans="1:6" x14ac:dyDescent="0.25">
      <c r="A6" s="223" t="s">
        <v>575</v>
      </c>
      <c r="B6" s="223" t="s">
        <v>344</v>
      </c>
      <c r="C6"/>
      <c r="D6" s="226" t="s">
        <v>67</v>
      </c>
      <c r="E6"/>
      <c r="F6"/>
    </row>
    <row r="7" spans="1:6" x14ac:dyDescent="0.25">
      <c r="A7" s="223" t="s">
        <v>576</v>
      </c>
      <c r="B7" s="223" t="s">
        <v>344</v>
      </c>
      <c r="C7"/>
      <c r="D7" s="226" t="s">
        <v>69</v>
      </c>
      <c r="E7"/>
      <c r="F7"/>
    </row>
    <row r="8" spans="1:6" x14ac:dyDescent="0.25">
      <c r="A8" s="223" t="s">
        <v>577</v>
      </c>
      <c r="B8" s="223" t="s">
        <v>344</v>
      </c>
      <c r="C8"/>
      <c r="D8" s="226" t="s">
        <v>70</v>
      </c>
      <c r="E8"/>
      <c r="F8" s="225" t="s">
        <v>95</v>
      </c>
    </row>
    <row r="9" spans="1:6" x14ac:dyDescent="0.25">
      <c r="A9" s="223" t="s">
        <v>578</v>
      </c>
      <c r="B9" s="223" t="s">
        <v>344</v>
      </c>
      <c r="C9"/>
      <c r="D9" s="226" t="s">
        <v>71</v>
      </c>
      <c r="E9"/>
      <c r="F9" s="226" t="s">
        <v>524</v>
      </c>
    </row>
    <row r="10" spans="1:6" x14ac:dyDescent="0.25">
      <c r="A10" s="223" t="s">
        <v>64</v>
      </c>
      <c r="B10" s="223" t="s">
        <v>344</v>
      </c>
      <c r="C10"/>
      <c r="D10" s="226" t="s">
        <v>72</v>
      </c>
      <c r="E10"/>
      <c r="F10" s="226" t="s">
        <v>97</v>
      </c>
    </row>
    <row r="11" spans="1:6" x14ac:dyDescent="0.25">
      <c r="A11" s="223" t="s">
        <v>540</v>
      </c>
      <c r="B11" s="223" t="s">
        <v>344</v>
      </c>
      <c r="C11"/>
      <c r="D11" s="226" t="s">
        <v>73</v>
      </c>
      <c r="E11"/>
      <c r="F11" s="226" t="s">
        <v>96</v>
      </c>
    </row>
    <row r="12" spans="1:6" x14ac:dyDescent="0.25">
      <c r="A12" s="223" t="s">
        <v>387</v>
      </c>
      <c r="B12" s="223" t="s">
        <v>377</v>
      </c>
      <c r="C12"/>
      <c r="D12" s="226" t="s">
        <v>683</v>
      </c>
      <c r="E12"/>
      <c r="F12" s="226" t="s">
        <v>98</v>
      </c>
    </row>
    <row r="13" spans="1:6" x14ac:dyDescent="0.25">
      <c r="A13" s="223" t="s">
        <v>53</v>
      </c>
      <c r="B13" s="223" t="s">
        <v>452</v>
      </c>
      <c r="C13"/>
      <c r="D13" s="226" t="s">
        <v>298</v>
      </c>
      <c r="E13"/>
      <c r="F13" s="226" t="s">
        <v>99</v>
      </c>
    </row>
    <row r="14" spans="1:6" x14ac:dyDescent="0.25">
      <c r="A14" s="223" t="s">
        <v>123</v>
      </c>
      <c r="B14" s="223" t="s">
        <v>452</v>
      </c>
      <c r="C14"/>
      <c r="D14" s="226" t="s">
        <v>523</v>
      </c>
      <c r="E14"/>
      <c r="F14" s="226" t="s">
        <v>100</v>
      </c>
    </row>
    <row r="15" spans="1:6" x14ac:dyDescent="0.25">
      <c r="A15" s="223" t="s">
        <v>534</v>
      </c>
      <c r="B15" s="223" t="s">
        <v>344</v>
      </c>
      <c r="D15" s="226" t="s">
        <v>439</v>
      </c>
      <c r="E15"/>
      <c r="F15" s="226" t="s">
        <v>101</v>
      </c>
    </row>
    <row r="16" spans="1:6" x14ac:dyDescent="0.25">
      <c r="A16" s="223" t="s">
        <v>43</v>
      </c>
      <c r="B16" s="223" t="s">
        <v>344</v>
      </c>
      <c r="D16" s="226" t="s">
        <v>870</v>
      </c>
      <c r="E16"/>
      <c r="F16" s="226" t="s">
        <v>533</v>
      </c>
    </row>
    <row r="17" spans="1:15" x14ac:dyDescent="0.25">
      <c r="A17" s="223" t="s">
        <v>122</v>
      </c>
      <c r="B17" s="223" t="s">
        <v>344</v>
      </c>
      <c r="D17" s="226" t="s">
        <v>75</v>
      </c>
      <c r="E17"/>
      <c r="F17" s="226" t="s">
        <v>756</v>
      </c>
    </row>
    <row r="18" spans="1:15" x14ac:dyDescent="0.25">
      <c r="A18" s="223" t="s">
        <v>132</v>
      </c>
      <c r="B18" s="223" t="s">
        <v>377</v>
      </c>
      <c r="D18" s="226" t="s">
        <v>686</v>
      </c>
      <c r="E18"/>
      <c r="F18" s="226" t="s">
        <v>755</v>
      </c>
    </row>
    <row r="19" spans="1:15" x14ac:dyDescent="0.25">
      <c r="A19" s="223" t="s">
        <v>372</v>
      </c>
      <c r="B19" s="223" t="s">
        <v>344</v>
      </c>
      <c r="C19"/>
      <c r="D19" s="226" t="s">
        <v>871</v>
      </c>
      <c r="E19"/>
      <c r="F19" s="226" t="s">
        <v>757</v>
      </c>
    </row>
    <row r="20" spans="1:15" x14ac:dyDescent="0.25">
      <c r="A20" s="223" t="s">
        <v>376</v>
      </c>
      <c r="B20" s="223" t="s">
        <v>377</v>
      </c>
      <c r="C20"/>
      <c r="D20" s="226" t="s">
        <v>511</v>
      </c>
      <c r="E20"/>
      <c r="F20" s="226" t="s">
        <v>753</v>
      </c>
    </row>
    <row r="21" spans="1:15" x14ac:dyDescent="0.25">
      <c r="A21" s="223" t="s">
        <v>138</v>
      </c>
      <c r="B21" s="223" t="s">
        <v>377</v>
      </c>
      <c r="C21"/>
      <c r="D21" s="226" t="s">
        <v>872</v>
      </c>
      <c r="E21"/>
      <c r="F21" s="226" t="s">
        <v>754</v>
      </c>
    </row>
    <row r="22" spans="1:15" x14ac:dyDescent="0.25">
      <c r="A22" s="223" t="s">
        <v>137</v>
      </c>
      <c r="B22" s="223" t="s">
        <v>377</v>
      </c>
      <c r="C22"/>
      <c r="D22" s="226" t="s">
        <v>77</v>
      </c>
      <c r="E22"/>
      <c r="F22" s="226" t="s">
        <v>535</v>
      </c>
    </row>
    <row r="23" spans="1:15" x14ac:dyDescent="0.25">
      <c r="A23" s="223" t="s">
        <v>690</v>
      </c>
      <c r="B23" s="223" t="s">
        <v>344</v>
      </c>
      <c r="C23"/>
      <c r="D23" s="226" t="s">
        <v>688</v>
      </c>
      <c r="E23"/>
      <c r="F23"/>
    </row>
    <row r="24" spans="1:15" x14ac:dyDescent="0.25">
      <c r="A24" s="7" t="s">
        <v>711</v>
      </c>
      <c r="B24" s="223" t="s">
        <v>344</v>
      </c>
      <c r="C24"/>
      <c r="D24" s="226" t="s">
        <v>723</v>
      </c>
      <c r="E24"/>
      <c r="F24"/>
    </row>
    <row r="25" spans="1:15" x14ac:dyDescent="0.25">
      <c r="A25" s="7" t="s">
        <v>705</v>
      </c>
      <c r="B25" s="223" t="s">
        <v>344</v>
      </c>
      <c r="C25"/>
      <c r="D25" s="226" t="s">
        <v>873</v>
      </c>
      <c r="E25"/>
      <c r="M25" s="42"/>
      <c r="N25" s="42"/>
      <c r="O25" s="42"/>
    </row>
    <row r="26" spans="1:15" x14ac:dyDescent="0.25">
      <c r="A26" s="7" t="s">
        <v>706</v>
      </c>
      <c r="B26" s="223" t="s">
        <v>344</v>
      </c>
      <c r="C26"/>
      <c r="D26" s="226" t="s">
        <v>874</v>
      </c>
      <c r="E26"/>
      <c r="M26" s="42"/>
      <c r="N26" s="42"/>
      <c r="O26" s="42"/>
    </row>
    <row r="27" spans="1:15" x14ac:dyDescent="0.25">
      <c r="A27" s="7" t="s">
        <v>707</v>
      </c>
      <c r="B27" s="223" t="s">
        <v>344</v>
      </c>
      <c r="C27"/>
      <c r="D27" s="226" t="s">
        <v>79</v>
      </c>
      <c r="E27" s="225" t="s">
        <v>306</v>
      </c>
      <c r="M27" s="42"/>
      <c r="N27" s="42"/>
      <c r="O27" s="42"/>
    </row>
    <row r="28" spans="1:15" x14ac:dyDescent="0.25">
      <c r="A28" s="223" t="s">
        <v>561</v>
      </c>
      <c r="B28" s="223" t="s">
        <v>344</v>
      </c>
      <c r="C28"/>
      <c r="D28" s="226" t="s">
        <v>80</v>
      </c>
      <c r="E28" s="226" t="s">
        <v>30</v>
      </c>
      <c r="M28" s="42"/>
      <c r="N28" s="42"/>
      <c r="O28" s="42"/>
    </row>
    <row r="29" spans="1:15" x14ac:dyDescent="0.25">
      <c r="A29" s="224" t="s">
        <v>748</v>
      </c>
      <c r="B29" s="223" t="s">
        <v>452</v>
      </c>
      <c r="C29"/>
      <c r="D29" s="226" t="s">
        <v>81</v>
      </c>
      <c r="E29" s="226" t="s">
        <v>32</v>
      </c>
      <c r="M29" s="42"/>
      <c r="N29" s="42"/>
      <c r="O29" s="42"/>
    </row>
    <row r="30" spans="1:15" x14ac:dyDescent="0.25">
      <c r="A30" s="7" t="s">
        <v>749</v>
      </c>
      <c r="B30" s="223" t="s">
        <v>344</v>
      </c>
      <c r="C30"/>
      <c r="D30" s="226" t="s">
        <v>82</v>
      </c>
      <c r="E30" s="226" t="s">
        <v>727</v>
      </c>
      <c r="M30" s="42"/>
      <c r="N30" s="42"/>
      <c r="O30" s="42"/>
    </row>
    <row r="31" spans="1:15" x14ac:dyDescent="0.25">
      <c r="A31" s="7"/>
      <c r="B31" s="7"/>
      <c r="C31"/>
      <c r="D31" s="226" t="s">
        <v>83</v>
      </c>
      <c r="E31" s="226" t="s">
        <v>520</v>
      </c>
      <c r="M31" s="42"/>
      <c r="N31" s="42"/>
      <c r="O31" s="42"/>
    </row>
    <row r="32" spans="1:15" x14ac:dyDescent="0.25">
      <c r="A32" s="7"/>
      <c r="B32" s="7"/>
      <c r="C32"/>
      <c r="D32" s="226" t="s">
        <v>84</v>
      </c>
      <c r="E32" s="226" t="s">
        <v>522</v>
      </c>
      <c r="M32" s="42"/>
      <c r="N32" s="42"/>
      <c r="O32" s="42"/>
    </row>
    <row r="33" spans="1:6" ht="16.5" customHeight="1" x14ac:dyDescent="0.25">
      <c r="A33" s="7"/>
      <c r="B33" s="7"/>
      <c r="C33"/>
      <c r="D33" s="226" t="s">
        <v>85</v>
      </c>
      <c r="E33" s="226" t="s">
        <v>549</v>
      </c>
    </row>
    <row r="34" spans="1:6" x14ac:dyDescent="0.25">
      <c r="A34" s="7"/>
      <c r="B34" s="7"/>
      <c r="C34"/>
      <c r="D34" s="226" t="s">
        <v>86</v>
      </c>
      <c r="E34" s="226" t="s">
        <v>35</v>
      </c>
    </row>
    <row r="35" spans="1:6" ht="14.25" customHeight="1" x14ac:dyDescent="0.25">
      <c r="A35" s="7"/>
      <c r="B35" s="7"/>
      <c r="C35"/>
      <c r="D35" s="226" t="s">
        <v>87</v>
      </c>
      <c r="E35" s="226" t="s">
        <v>56</v>
      </c>
    </row>
    <row r="36" spans="1:6" x14ac:dyDescent="0.25">
      <c r="A36" s="7"/>
      <c r="B36" s="7"/>
      <c r="C36" s="227" t="s">
        <v>137</v>
      </c>
      <c r="D36" s="226" t="s">
        <v>875</v>
      </c>
      <c r="E36" s="226" t="s">
        <v>697</v>
      </c>
    </row>
    <row r="37" spans="1:6" x14ac:dyDescent="0.25">
      <c r="A37" s="43"/>
      <c r="B37" s="7"/>
      <c r="C37" s="228" t="s">
        <v>374</v>
      </c>
      <c r="D37" s="226" t="s">
        <v>876</v>
      </c>
      <c r="E37" s="226" t="s">
        <v>48</v>
      </c>
    </row>
    <row r="38" spans="1:6" x14ac:dyDescent="0.25">
      <c r="A38" s="7"/>
      <c r="B38" s="7"/>
      <c r="C38" s="228" t="s">
        <v>375</v>
      </c>
      <c r="D38" s="226" t="s">
        <v>434</v>
      </c>
      <c r="E38" s="226" t="s">
        <v>713</v>
      </c>
    </row>
    <row r="39" spans="1:6" x14ac:dyDescent="0.25">
      <c r="A39" s="7"/>
      <c r="B39" s="7"/>
      <c r="C39"/>
      <c r="D39" s="226" t="s">
        <v>368</v>
      </c>
      <c r="E39" s="226" t="s">
        <v>20</v>
      </c>
    </row>
    <row r="40" spans="1:6" x14ac:dyDescent="0.25">
      <c r="A40" s="7"/>
      <c r="B40" s="7"/>
      <c r="C40"/>
      <c r="D40" s="226" t="s">
        <v>104</v>
      </c>
      <c r="E40" s="226" t="s">
        <v>13</v>
      </c>
    </row>
    <row r="41" spans="1:6" x14ac:dyDescent="0.25">
      <c r="A41" s="7"/>
      <c r="B41" s="7"/>
      <c r="C41"/>
      <c r="D41" s="223" t="s">
        <v>105</v>
      </c>
      <c r="E41" s="226" t="s">
        <v>39</v>
      </c>
    </row>
    <row r="42" spans="1:6" x14ac:dyDescent="0.25">
      <c r="A42" s="7"/>
      <c r="B42" s="7"/>
      <c r="C42"/>
      <c r="D42" s="223" t="s">
        <v>106</v>
      </c>
      <c r="E42" s="226" t="s">
        <v>800</v>
      </c>
    </row>
    <row r="43" spans="1:6" x14ac:dyDescent="0.25">
      <c r="A43" s="7"/>
      <c r="B43" s="7"/>
      <c r="C43"/>
      <c r="D43" s="223" t="s">
        <v>107</v>
      </c>
      <c r="E43" s="226" t="s">
        <v>102</v>
      </c>
    </row>
    <row r="44" spans="1:6" x14ac:dyDescent="0.25">
      <c r="A44" s="7"/>
      <c r="B44" s="7"/>
      <c r="C44"/>
      <c r="D44" s="223" t="s">
        <v>108</v>
      </c>
      <c r="E44" s="226" t="s">
        <v>103</v>
      </c>
    </row>
    <row r="45" spans="1:6" x14ac:dyDescent="0.25">
      <c r="A45" s="7"/>
      <c r="B45" s="7"/>
      <c r="C45"/>
      <c r="D45" s="223" t="s">
        <v>109</v>
      </c>
      <c r="E45" s="226" t="s">
        <v>877</v>
      </c>
    </row>
    <row r="46" spans="1:6" x14ac:dyDescent="0.25">
      <c r="A46" s="7"/>
      <c r="B46" s="7"/>
      <c r="C46" s="227" t="s">
        <v>430</v>
      </c>
      <c r="D46" s="223" t="s">
        <v>110</v>
      </c>
      <c r="E46" s="226" t="s">
        <v>52</v>
      </c>
      <c r="F46"/>
    </row>
    <row r="47" spans="1:6" x14ac:dyDescent="0.25">
      <c r="A47" s="7"/>
      <c r="B47" s="7"/>
      <c r="C47" s="229" t="s">
        <v>662</v>
      </c>
      <c r="D47" s="223" t="s">
        <v>111</v>
      </c>
      <c r="E47" s="226" t="s">
        <v>62</v>
      </c>
      <c r="F47"/>
    </row>
    <row r="48" spans="1:6" x14ac:dyDescent="0.25">
      <c r="A48" s="7"/>
      <c r="B48" s="7"/>
      <c r="C48" s="229" t="s">
        <v>431</v>
      </c>
      <c r="D48" s="223" t="s">
        <v>112</v>
      </c>
      <c r="E48" s="226" t="s">
        <v>40</v>
      </c>
      <c r="F48"/>
    </row>
    <row r="49" spans="1:17" x14ac:dyDescent="0.25">
      <c r="A49" s="7"/>
      <c r="B49" s="7"/>
      <c r="C49"/>
      <c r="D49" s="223" t="s">
        <v>784</v>
      </c>
      <c r="E49" s="226" t="s">
        <v>38</v>
      </c>
      <c r="F49"/>
    </row>
    <row r="50" spans="1:17" x14ac:dyDescent="0.25">
      <c r="A50" s="7"/>
      <c r="B50" s="7"/>
      <c r="C50"/>
      <c r="D50" s="223" t="s">
        <v>785</v>
      </c>
      <c r="E50" s="226" t="s">
        <v>133</v>
      </c>
    </row>
    <row r="51" spans="1:17" x14ac:dyDescent="0.25">
      <c r="A51" s="7"/>
      <c r="B51" s="7"/>
      <c r="C51"/>
      <c r="D51" s="223" t="s">
        <v>786</v>
      </c>
      <c r="E51" s="226" t="s">
        <v>37</v>
      </c>
      <c r="F51" s="382" t="s">
        <v>402</v>
      </c>
      <c r="G51" s="382"/>
      <c r="H51" s="382"/>
      <c r="I51" s="382"/>
      <c r="J51" s="382"/>
      <c r="K51" s="383"/>
    </row>
    <row r="52" spans="1:17" x14ac:dyDescent="0.25">
      <c r="A52" s="7"/>
      <c r="B52" s="7"/>
      <c r="C52"/>
      <c r="D52" s="226" t="s">
        <v>92</v>
      </c>
      <c r="E52" s="226" t="s">
        <v>539</v>
      </c>
      <c r="F52" s="285" t="s">
        <v>304</v>
      </c>
      <c r="G52" s="39" t="s">
        <v>401</v>
      </c>
      <c r="H52" s="39" t="s">
        <v>411</v>
      </c>
      <c r="I52" s="39" t="s">
        <v>419</v>
      </c>
      <c r="J52" s="39" t="s">
        <v>427</v>
      </c>
      <c r="K52" s="39" t="s">
        <v>430</v>
      </c>
    </row>
    <row r="53" spans="1:17" x14ac:dyDescent="0.25">
      <c r="A53" s="7"/>
      <c r="B53" s="7"/>
      <c r="C53"/>
      <c r="D53" s="226" t="s">
        <v>7</v>
      </c>
      <c r="E53" s="226" t="s">
        <v>664</v>
      </c>
      <c r="F53" s="286" t="s">
        <v>6</v>
      </c>
      <c r="G53" s="209">
        <v>8</v>
      </c>
      <c r="H53" s="209">
        <v>4</v>
      </c>
      <c r="I53" s="209" t="s">
        <v>420</v>
      </c>
      <c r="J53" s="209">
        <f>15*2</f>
        <v>30</v>
      </c>
      <c r="K53" s="255" t="s">
        <v>768</v>
      </c>
    </row>
    <row r="54" spans="1:17" x14ac:dyDescent="0.25">
      <c r="A54" s="7"/>
      <c r="B54" s="7"/>
      <c r="C54"/>
      <c r="D54" s="226" t="s">
        <v>699</v>
      </c>
      <c r="E54" s="226" t="s">
        <v>286</v>
      </c>
      <c r="F54" s="286" t="s">
        <v>441</v>
      </c>
      <c r="G54" s="209">
        <v>16</v>
      </c>
      <c r="H54" s="209">
        <v>2.5</v>
      </c>
      <c r="I54" s="209" t="s">
        <v>420</v>
      </c>
      <c r="J54" s="209">
        <v>30</v>
      </c>
      <c r="K54" s="255" t="s">
        <v>768</v>
      </c>
    </row>
    <row r="55" spans="1:17" x14ac:dyDescent="0.25">
      <c r="A55" s="7"/>
      <c r="B55" s="7"/>
      <c r="C55"/>
      <c r="D55" s="226" t="s">
        <v>8</v>
      </c>
      <c r="E55" s="42" t="s">
        <v>900</v>
      </c>
      <c r="F55" s="286" t="s">
        <v>21</v>
      </c>
      <c r="G55" s="209">
        <v>3</v>
      </c>
      <c r="H55" s="209">
        <v>2.5</v>
      </c>
      <c r="I55" s="209" t="s">
        <v>420</v>
      </c>
      <c r="J55" s="209">
        <v>11.3</v>
      </c>
      <c r="K55" s="255" t="s">
        <v>768</v>
      </c>
    </row>
    <row r="56" spans="1:17" x14ac:dyDescent="0.25">
      <c r="A56" s="7"/>
      <c r="B56" s="7"/>
      <c r="C56"/>
      <c r="D56" s="226" t="s">
        <v>9</v>
      </c>
      <c r="E56" s="226" t="s">
        <v>287</v>
      </c>
      <c r="F56" s="286" t="s">
        <v>408</v>
      </c>
      <c r="G56" s="209">
        <v>2</v>
      </c>
      <c r="H56" s="209">
        <v>1.5</v>
      </c>
      <c r="I56" s="209" t="s">
        <v>420</v>
      </c>
      <c r="J56" s="209">
        <v>9</v>
      </c>
      <c r="K56" s="255" t="s">
        <v>769</v>
      </c>
    </row>
    <row r="57" spans="1:17" x14ac:dyDescent="0.25">
      <c r="A57" s="7"/>
      <c r="B57" s="7"/>
      <c r="C57"/>
      <c r="D57" s="226" t="s">
        <v>93</v>
      </c>
      <c r="E57" s="226" t="s">
        <v>289</v>
      </c>
      <c r="F57" s="286" t="s">
        <v>409</v>
      </c>
      <c r="G57" s="209">
        <v>4</v>
      </c>
      <c r="H57" s="209">
        <v>1.5</v>
      </c>
      <c r="I57" s="209" t="s">
        <v>420</v>
      </c>
      <c r="J57" s="209">
        <f>9*2</f>
        <v>18</v>
      </c>
      <c r="K57" s="255" t="s">
        <v>769</v>
      </c>
    </row>
    <row r="58" spans="1:17" x14ac:dyDescent="0.25">
      <c r="A58" s="7"/>
      <c r="B58" s="7"/>
      <c r="C58"/>
      <c r="D58" s="226" t="s">
        <v>10</v>
      </c>
      <c r="E58" s="226" t="s">
        <v>384</v>
      </c>
      <c r="F58" s="286" t="s">
        <v>386</v>
      </c>
      <c r="G58" s="209">
        <v>4</v>
      </c>
      <c r="H58" s="209">
        <v>1.5</v>
      </c>
      <c r="I58" s="209" t="s">
        <v>421</v>
      </c>
      <c r="J58" s="209">
        <v>13.3</v>
      </c>
      <c r="K58" s="255" t="s">
        <v>769</v>
      </c>
    </row>
    <row r="59" spans="1:17" x14ac:dyDescent="0.25">
      <c r="A59" s="7"/>
      <c r="B59" s="7"/>
      <c r="C59"/>
      <c r="D59" s="226" t="s">
        <v>11</v>
      </c>
      <c r="E59" s="226" t="s">
        <v>453</v>
      </c>
      <c r="F59" s="286" t="s">
        <v>385</v>
      </c>
      <c r="G59" s="209">
        <v>4</v>
      </c>
      <c r="H59" s="209">
        <v>1.5</v>
      </c>
      <c r="I59" s="209" t="s">
        <v>421</v>
      </c>
      <c r="J59" s="209">
        <v>13.3</v>
      </c>
      <c r="K59" s="255" t="s">
        <v>768</v>
      </c>
    </row>
    <row r="60" spans="1:17" x14ac:dyDescent="0.25">
      <c r="C60"/>
      <c r="D60" s="226" t="s">
        <v>94</v>
      </c>
      <c r="E60" s="226" t="s">
        <v>517</v>
      </c>
      <c r="F60" s="286" t="s">
        <v>412</v>
      </c>
      <c r="G60" s="209">
        <v>2</v>
      </c>
      <c r="H60" s="209">
        <v>1.5</v>
      </c>
      <c r="I60" s="209" t="s">
        <v>421</v>
      </c>
      <c r="J60" s="209">
        <v>9</v>
      </c>
      <c r="K60" s="255" t="s">
        <v>769</v>
      </c>
      <c r="Q60" s="230" t="s">
        <v>700</v>
      </c>
    </row>
    <row r="61" spans="1:17" x14ac:dyDescent="0.25">
      <c r="C61"/>
      <c r="D61" s="226" t="s">
        <v>15</v>
      </c>
      <c r="E61" s="226" t="s">
        <v>60</v>
      </c>
      <c r="F61" s="286" t="s">
        <v>413</v>
      </c>
      <c r="G61" s="209">
        <v>2</v>
      </c>
      <c r="H61" s="209">
        <v>1.5</v>
      </c>
      <c r="I61" s="209" t="s">
        <v>421</v>
      </c>
      <c r="J61" s="209">
        <v>9</v>
      </c>
      <c r="K61" s="255" t="s">
        <v>768</v>
      </c>
      <c r="Q61" s="198" t="s">
        <v>304</v>
      </c>
    </row>
    <row r="62" spans="1:17" x14ac:dyDescent="0.25">
      <c r="C62"/>
      <c r="D62" s="226" t="s">
        <v>16</v>
      </c>
      <c r="E62" s="226" t="s">
        <v>59</v>
      </c>
      <c r="F62" s="286" t="s">
        <v>414</v>
      </c>
      <c r="G62" s="209">
        <v>4</v>
      </c>
      <c r="H62" s="209">
        <v>1.5</v>
      </c>
      <c r="I62" s="209" t="s">
        <v>421</v>
      </c>
      <c r="J62" s="209">
        <v>13.3</v>
      </c>
      <c r="K62" s="255" t="s">
        <v>769</v>
      </c>
      <c r="Q62" s="223" t="s">
        <v>89</v>
      </c>
    </row>
    <row r="63" spans="1:17" x14ac:dyDescent="0.25">
      <c r="C63"/>
      <c r="D63" s="226" t="s">
        <v>17</v>
      </c>
      <c r="E63" s="226" t="s">
        <v>532</v>
      </c>
      <c r="F63" s="286" t="s">
        <v>415</v>
      </c>
      <c r="G63" s="209">
        <v>4</v>
      </c>
      <c r="H63" s="209">
        <v>1.5</v>
      </c>
      <c r="I63" s="209" t="s">
        <v>421</v>
      </c>
      <c r="J63" s="209">
        <v>13.3</v>
      </c>
      <c r="K63" s="255" t="s">
        <v>768</v>
      </c>
      <c r="Q63" s="223" t="s">
        <v>91</v>
      </c>
    </row>
    <row r="64" spans="1:17" x14ac:dyDescent="0.25">
      <c r="C64"/>
      <c r="D64" s="226" t="s">
        <v>18</v>
      </c>
      <c r="E64" s="226" t="s">
        <v>787</v>
      </c>
      <c r="F64" s="286" t="s">
        <v>416</v>
      </c>
      <c r="G64" s="209">
        <v>2</v>
      </c>
      <c r="H64" s="209">
        <v>1.5</v>
      </c>
      <c r="I64" s="209" t="s">
        <v>421</v>
      </c>
      <c r="J64" s="209">
        <v>9</v>
      </c>
      <c r="K64" s="255" t="s">
        <v>770</v>
      </c>
      <c r="Q64" s="226" t="s">
        <v>573</v>
      </c>
    </row>
    <row r="65" spans="3:17" x14ac:dyDescent="0.25">
      <c r="C65"/>
      <c r="D65" s="226" t="s">
        <v>19</v>
      </c>
      <c r="E65" s="266" t="s">
        <v>708</v>
      </c>
      <c r="F65" s="286" t="s">
        <v>405</v>
      </c>
      <c r="G65" s="209">
        <v>3</v>
      </c>
      <c r="H65" s="209">
        <v>1.5</v>
      </c>
      <c r="I65" s="209" t="s">
        <v>420</v>
      </c>
      <c r="J65" s="209">
        <v>9.6999999999999993</v>
      </c>
      <c r="K65" s="255" t="s">
        <v>768</v>
      </c>
      <c r="Q65" s="223" t="s">
        <v>574</v>
      </c>
    </row>
    <row r="66" spans="3:17" x14ac:dyDescent="0.25">
      <c r="C66"/>
      <c r="E66" s="226" t="s">
        <v>572</v>
      </c>
      <c r="F66" s="209" t="s">
        <v>406</v>
      </c>
      <c r="G66" s="209">
        <v>6</v>
      </c>
      <c r="H66" s="209">
        <v>1.5</v>
      </c>
      <c r="I66" s="209" t="s">
        <v>420</v>
      </c>
      <c r="J66" s="209">
        <f>9.7*2</f>
        <v>19.399999999999999</v>
      </c>
      <c r="K66" s="255" t="s">
        <v>770</v>
      </c>
      <c r="Q66" s="224" t="s">
        <v>575</v>
      </c>
    </row>
    <row r="67" spans="3:17" x14ac:dyDescent="0.25">
      <c r="C67"/>
      <c r="E67" s="250"/>
      <c r="F67" s="41" t="s">
        <v>454</v>
      </c>
      <c r="G67" s="209">
        <v>4</v>
      </c>
      <c r="H67" s="209">
        <v>1.5</v>
      </c>
      <c r="I67" s="209" t="s">
        <v>421</v>
      </c>
      <c r="J67" s="209">
        <v>13.3</v>
      </c>
      <c r="K67" s="255" t="s">
        <v>768</v>
      </c>
      <c r="Q67" s="223" t="s">
        <v>576</v>
      </c>
    </row>
    <row r="68" spans="3:17" ht="30" x14ac:dyDescent="0.25">
      <c r="C68"/>
      <c r="E68" s="250"/>
      <c r="F68" s="41" t="s">
        <v>305</v>
      </c>
      <c r="G68" s="209">
        <v>2</v>
      </c>
      <c r="H68" s="209">
        <v>1.5</v>
      </c>
      <c r="I68" s="209" t="s">
        <v>421</v>
      </c>
      <c r="J68" s="209">
        <v>9</v>
      </c>
      <c r="K68" s="255" t="s">
        <v>768</v>
      </c>
      <c r="Q68" s="223" t="s">
        <v>577</v>
      </c>
    </row>
    <row r="69" spans="3:17" x14ac:dyDescent="0.25">
      <c r="C69"/>
      <c r="Q69" s="223" t="s">
        <v>578</v>
      </c>
    </row>
    <row r="70" spans="3:17" x14ac:dyDescent="0.25">
      <c r="C70"/>
      <c r="Q70" s="223" t="s">
        <v>64</v>
      </c>
    </row>
    <row r="71" spans="3:17" x14ac:dyDescent="0.25">
      <c r="C71"/>
      <c r="Q71" s="223" t="s">
        <v>540</v>
      </c>
    </row>
    <row r="72" spans="3:17" x14ac:dyDescent="0.25">
      <c r="C72"/>
      <c r="F72"/>
      <c r="Q72" s="223" t="s">
        <v>387</v>
      </c>
    </row>
    <row r="73" spans="3:17" x14ac:dyDescent="0.25">
      <c r="C73"/>
      <c r="F73"/>
      <c r="Q73" s="223" t="s">
        <v>53</v>
      </c>
    </row>
    <row r="74" spans="3:17" x14ac:dyDescent="0.25">
      <c r="C74"/>
      <c r="F74"/>
      <c r="Q74" s="223" t="s">
        <v>123</v>
      </c>
    </row>
    <row r="75" spans="3:17" x14ac:dyDescent="0.25">
      <c r="C75"/>
      <c r="F75"/>
      <c r="Q75" s="224" t="s">
        <v>748</v>
      </c>
    </row>
    <row r="76" spans="3:17" x14ac:dyDescent="0.25">
      <c r="C76"/>
      <c r="F76"/>
      <c r="Q76" s="7" t="s">
        <v>749</v>
      </c>
    </row>
    <row r="77" spans="3:17" x14ac:dyDescent="0.25">
      <c r="C77"/>
      <c r="F77"/>
      <c r="Q77" s="223" t="s">
        <v>534</v>
      </c>
    </row>
    <row r="78" spans="3:17" x14ac:dyDescent="0.25">
      <c r="C78"/>
      <c r="F78"/>
      <c r="Q78" s="223" t="s">
        <v>43</v>
      </c>
    </row>
    <row r="79" spans="3:17" x14ac:dyDescent="0.25">
      <c r="C79"/>
      <c r="F79"/>
      <c r="Q79" s="223" t="s">
        <v>122</v>
      </c>
    </row>
    <row r="80" spans="3:17" x14ac:dyDescent="0.25">
      <c r="C80"/>
      <c r="D80"/>
      <c r="F80"/>
      <c r="Q80" s="223" t="s">
        <v>132</v>
      </c>
    </row>
    <row r="81" spans="3:17" x14ac:dyDescent="0.25">
      <c r="C81"/>
      <c r="D81"/>
      <c r="F81"/>
      <c r="Q81" s="223" t="s">
        <v>372</v>
      </c>
    </row>
    <row r="82" spans="3:17" x14ac:dyDescent="0.25">
      <c r="C82"/>
      <c r="D82"/>
      <c r="F82"/>
      <c r="Q82" s="223" t="s">
        <v>376</v>
      </c>
    </row>
    <row r="83" spans="3:17" x14ac:dyDescent="0.25">
      <c r="C83"/>
      <c r="D83"/>
      <c r="F83"/>
      <c r="Q83" s="223" t="s">
        <v>138</v>
      </c>
    </row>
    <row r="84" spans="3:17" x14ac:dyDescent="0.25">
      <c r="C84"/>
      <c r="D84"/>
      <c r="F84"/>
      <c r="Q84" s="223" t="s">
        <v>137</v>
      </c>
    </row>
    <row r="85" spans="3:17" x14ac:dyDescent="0.25">
      <c r="C85"/>
      <c r="D85"/>
      <c r="F85"/>
      <c r="Q85" s="7" t="s">
        <v>711</v>
      </c>
    </row>
    <row r="86" spans="3:17" x14ac:dyDescent="0.25">
      <c r="C86"/>
      <c r="D86"/>
      <c r="F86"/>
      <c r="Q86" s="7" t="s">
        <v>705</v>
      </c>
    </row>
    <row r="87" spans="3:17" x14ac:dyDescent="0.25">
      <c r="C87"/>
      <c r="D87"/>
      <c r="F87"/>
      <c r="Q87" s="7" t="s">
        <v>706</v>
      </c>
    </row>
    <row r="88" spans="3:17" x14ac:dyDescent="0.25">
      <c r="C88"/>
      <c r="D88"/>
      <c r="F88"/>
      <c r="Q88" s="7" t="s">
        <v>707</v>
      </c>
    </row>
    <row r="89" spans="3:17" x14ac:dyDescent="0.25">
      <c r="C89"/>
      <c r="D89"/>
    </row>
    <row r="90" spans="3:17" ht="42.75" customHeight="1" x14ac:dyDescent="0.25">
      <c r="C90"/>
      <c r="D90"/>
      <c r="N90" s="381" t="s">
        <v>701</v>
      </c>
      <c r="O90" s="381"/>
      <c r="Q90" s="223"/>
    </row>
    <row r="91" spans="3:17" x14ac:dyDescent="0.25">
      <c r="C91"/>
    </row>
    <row r="92" spans="3:17" ht="22.5" customHeight="1" x14ac:dyDescent="0.25">
      <c r="C92"/>
      <c r="N92" s="199" t="s">
        <v>1</v>
      </c>
      <c r="O92" s="199" t="s">
        <v>580</v>
      </c>
    </row>
    <row r="93" spans="3:17" ht="22.5" customHeight="1" x14ac:dyDescent="0.25">
      <c r="C93"/>
      <c r="N93" s="7" t="s">
        <v>91</v>
      </c>
      <c r="O93" s="266" t="s">
        <v>210</v>
      </c>
    </row>
    <row r="94" spans="3:17" ht="22.5" customHeight="1" x14ac:dyDescent="0.25">
      <c r="C94"/>
      <c r="N94" s="7" t="s">
        <v>91</v>
      </c>
      <c r="O94" s="266" t="s">
        <v>211</v>
      </c>
    </row>
    <row r="95" spans="3:17" ht="22.5" customHeight="1" x14ac:dyDescent="0.25">
      <c r="C95"/>
      <c r="N95" s="7" t="s">
        <v>91</v>
      </c>
      <c r="O95" s="266" t="s">
        <v>885</v>
      </c>
    </row>
    <row r="96" spans="3:17" ht="22.5" customHeight="1" x14ac:dyDescent="0.25">
      <c r="C96"/>
      <c r="N96" s="7" t="s">
        <v>91</v>
      </c>
      <c r="O96" s="266" t="s">
        <v>212</v>
      </c>
    </row>
    <row r="97" spans="3:15" ht="22.5" customHeight="1" x14ac:dyDescent="0.25">
      <c r="C97"/>
      <c r="N97" s="7" t="s">
        <v>91</v>
      </c>
      <c r="O97" s="266" t="s">
        <v>213</v>
      </c>
    </row>
    <row r="98" spans="3:15" ht="22.5" customHeight="1" x14ac:dyDescent="0.25">
      <c r="N98" s="7" t="s">
        <v>91</v>
      </c>
      <c r="O98" s="266" t="s">
        <v>214</v>
      </c>
    </row>
    <row r="99" spans="3:15" ht="22.5" customHeight="1" x14ac:dyDescent="0.25">
      <c r="N99" s="7" t="s">
        <v>91</v>
      </c>
      <c r="O99" s="266" t="s">
        <v>679</v>
      </c>
    </row>
    <row r="100" spans="3:15" ht="22.5" customHeight="1" x14ac:dyDescent="0.25">
      <c r="N100" s="7" t="s">
        <v>91</v>
      </c>
      <c r="O100" s="7" t="s">
        <v>215</v>
      </c>
    </row>
    <row r="101" spans="3:15" ht="22.5" customHeight="1" x14ac:dyDescent="0.25">
      <c r="N101" s="7" t="s">
        <v>91</v>
      </c>
      <c r="O101" s="7" t="s">
        <v>216</v>
      </c>
    </row>
    <row r="102" spans="3:15" ht="22.5" customHeight="1" x14ac:dyDescent="0.25">
      <c r="N102" s="7" t="s">
        <v>91</v>
      </c>
      <c r="O102" s="7" t="s">
        <v>217</v>
      </c>
    </row>
    <row r="103" spans="3:15" ht="22.5" customHeight="1" x14ac:dyDescent="0.25">
      <c r="N103" s="7" t="s">
        <v>91</v>
      </c>
      <c r="O103" s="7" t="s">
        <v>218</v>
      </c>
    </row>
    <row r="104" spans="3:15" ht="22.5" customHeight="1" x14ac:dyDescent="0.25">
      <c r="N104" s="7" t="s">
        <v>89</v>
      </c>
      <c r="O104" s="266" t="s">
        <v>150</v>
      </c>
    </row>
    <row r="105" spans="3:15" ht="22.5" customHeight="1" x14ac:dyDescent="0.25">
      <c r="N105" s="7" t="s">
        <v>89</v>
      </c>
      <c r="O105" s="266" t="s">
        <v>151</v>
      </c>
    </row>
    <row r="106" spans="3:15" ht="22.5" customHeight="1" x14ac:dyDescent="0.25">
      <c r="N106" s="7" t="s">
        <v>89</v>
      </c>
      <c r="O106" s="266" t="s">
        <v>152</v>
      </c>
    </row>
    <row r="107" spans="3:15" ht="22.5" customHeight="1" x14ac:dyDescent="0.25">
      <c r="N107" s="7" t="s">
        <v>89</v>
      </c>
      <c r="O107" s="266" t="s">
        <v>153</v>
      </c>
    </row>
    <row r="108" spans="3:15" ht="22.5" customHeight="1" x14ac:dyDescent="0.25">
      <c r="N108" s="266" t="s">
        <v>573</v>
      </c>
      <c r="O108" s="7" t="s">
        <v>6</v>
      </c>
    </row>
    <row r="109" spans="3:15" ht="22.5" customHeight="1" x14ac:dyDescent="0.25">
      <c r="N109" s="266" t="s">
        <v>573</v>
      </c>
      <c r="O109" s="7" t="s">
        <v>579</v>
      </c>
    </row>
    <row r="110" spans="3:15" ht="22.5" customHeight="1" x14ac:dyDescent="0.25">
      <c r="N110" s="266" t="s">
        <v>573</v>
      </c>
      <c r="O110" s="7" t="s">
        <v>21</v>
      </c>
    </row>
    <row r="111" spans="3:15" ht="22.5" customHeight="1" x14ac:dyDescent="0.25">
      <c r="N111" s="7" t="s">
        <v>574</v>
      </c>
      <c r="O111" s="7" t="s">
        <v>23</v>
      </c>
    </row>
    <row r="112" spans="3:15" ht="22.5" customHeight="1" x14ac:dyDescent="0.25">
      <c r="N112" s="7" t="s">
        <v>574</v>
      </c>
      <c r="O112" s="7" t="s">
        <v>802</v>
      </c>
    </row>
    <row r="113" spans="14:15" ht="22.5" customHeight="1" x14ac:dyDescent="0.25">
      <c r="N113" s="7" t="s">
        <v>574</v>
      </c>
      <c r="O113" s="7" t="s">
        <v>33</v>
      </c>
    </row>
    <row r="114" spans="14:15" ht="22.5" customHeight="1" x14ac:dyDescent="0.25">
      <c r="N114" s="7" t="s">
        <v>574</v>
      </c>
      <c r="O114" s="7" t="s">
        <v>803</v>
      </c>
    </row>
    <row r="115" spans="14:15" ht="22.5" customHeight="1" x14ac:dyDescent="0.25">
      <c r="N115" s="7" t="s">
        <v>574</v>
      </c>
      <c r="O115" s="7" t="s">
        <v>34</v>
      </c>
    </row>
    <row r="116" spans="14:15" ht="22.5" customHeight="1" x14ac:dyDescent="0.25">
      <c r="N116" s="7" t="s">
        <v>574</v>
      </c>
      <c r="O116" s="7" t="s">
        <v>57</v>
      </c>
    </row>
    <row r="117" spans="14:15" ht="22.5" customHeight="1" x14ac:dyDescent="0.25">
      <c r="N117" s="7" t="s">
        <v>574</v>
      </c>
      <c r="O117" s="7" t="s">
        <v>61</v>
      </c>
    </row>
    <row r="118" spans="14:15" ht="22.5" customHeight="1" x14ac:dyDescent="0.25">
      <c r="N118" s="7" t="s">
        <v>574</v>
      </c>
      <c r="O118" s="7" t="s">
        <v>678</v>
      </c>
    </row>
    <row r="119" spans="14:15" ht="22.5" customHeight="1" x14ac:dyDescent="0.25">
      <c r="N119" s="7" t="s">
        <v>575</v>
      </c>
      <c r="O119" s="7" t="s">
        <v>90</v>
      </c>
    </row>
    <row r="120" spans="14:15" ht="22.5" customHeight="1" x14ac:dyDescent="0.25">
      <c r="N120" s="7" t="s">
        <v>575</v>
      </c>
      <c r="O120" s="7" t="s">
        <v>63</v>
      </c>
    </row>
    <row r="121" spans="14:15" ht="22.5" customHeight="1" x14ac:dyDescent="0.25">
      <c r="N121" s="7" t="s">
        <v>575</v>
      </c>
      <c r="O121" s="7" t="s">
        <v>285</v>
      </c>
    </row>
    <row r="122" spans="14:15" ht="22.5" customHeight="1" x14ac:dyDescent="0.25">
      <c r="N122" s="7" t="s">
        <v>575</v>
      </c>
      <c r="O122" s="290" t="s">
        <v>665</v>
      </c>
    </row>
    <row r="123" spans="14:15" ht="22.5" customHeight="1" x14ac:dyDescent="0.25">
      <c r="N123" s="7" t="s">
        <v>575</v>
      </c>
      <c r="O123" s="7" t="s">
        <v>432</v>
      </c>
    </row>
    <row r="124" spans="14:15" ht="22.5" customHeight="1" x14ac:dyDescent="0.25">
      <c r="N124" s="7" t="s">
        <v>575</v>
      </c>
      <c r="O124" s="7" t="s">
        <v>663</v>
      </c>
    </row>
    <row r="125" spans="14:15" ht="22.5" customHeight="1" x14ac:dyDescent="0.25">
      <c r="N125" s="7" t="s">
        <v>575</v>
      </c>
      <c r="O125" s="7" t="s">
        <v>455</v>
      </c>
    </row>
    <row r="126" spans="14:15" ht="22.5" customHeight="1" x14ac:dyDescent="0.25">
      <c r="N126" s="7" t="s">
        <v>575</v>
      </c>
      <c r="O126" s="7" t="s">
        <v>454</v>
      </c>
    </row>
    <row r="127" spans="14:15" ht="22.5" customHeight="1" x14ac:dyDescent="0.25">
      <c r="N127" s="7" t="s">
        <v>576</v>
      </c>
      <c r="O127" s="7" t="s">
        <v>42</v>
      </c>
    </row>
    <row r="128" spans="14:15" ht="22.5" customHeight="1" x14ac:dyDescent="0.25">
      <c r="N128" s="7" t="s">
        <v>576</v>
      </c>
      <c r="O128" s="7" t="s">
        <v>867</v>
      </c>
    </row>
    <row r="129" spans="14:15" ht="22.5" customHeight="1" x14ac:dyDescent="0.25">
      <c r="N129" s="7" t="s">
        <v>576</v>
      </c>
      <c r="O129" s="7" t="s">
        <v>868</v>
      </c>
    </row>
    <row r="130" spans="14:15" ht="22.5" customHeight="1" x14ac:dyDescent="0.25">
      <c r="N130" s="7" t="s">
        <v>576</v>
      </c>
      <c r="O130" s="43" t="s">
        <v>437</v>
      </c>
    </row>
    <row r="131" spans="14:15" ht="22.5" customHeight="1" x14ac:dyDescent="0.25">
      <c r="N131" s="7" t="s">
        <v>576</v>
      </c>
      <c r="O131" s="7" t="s">
        <v>865</v>
      </c>
    </row>
    <row r="132" spans="14:15" ht="22.5" customHeight="1" x14ac:dyDescent="0.25">
      <c r="N132" s="7" t="s">
        <v>576</v>
      </c>
      <c r="O132" s="7" t="s">
        <v>866</v>
      </c>
    </row>
    <row r="133" spans="14:15" ht="22.5" customHeight="1" x14ac:dyDescent="0.25">
      <c r="N133" s="7" t="s">
        <v>577</v>
      </c>
      <c r="O133" s="7" t="s">
        <v>891</v>
      </c>
    </row>
    <row r="134" spans="14:15" ht="22.5" customHeight="1" x14ac:dyDescent="0.25">
      <c r="N134" s="7" t="s">
        <v>577</v>
      </c>
      <c r="O134" s="7" t="s">
        <v>890</v>
      </c>
    </row>
    <row r="135" spans="14:15" ht="22.5" customHeight="1" x14ac:dyDescent="0.25">
      <c r="N135" s="7" t="s">
        <v>577</v>
      </c>
      <c r="O135" s="7" t="s">
        <v>889</v>
      </c>
    </row>
    <row r="136" spans="14:15" ht="22.5" customHeight="1" x14ac:dyDescent="0.25">
      <c r="N136" s="7" t="s">
        <v>577</v>
      </c>
      <c r="O136" s="7" t="s">
        <v>551</v>
      </c>
    </row>
    <row r="137" spans="14:15" ht="22.5" customHeight="1" x14ac:dyDescent="0.25">
      <c r="N137" s="7" t="s">
        <v>577</v>
      </c>
      <c r="O137" s="7" t="s">
        <v>429</v>
      </c>
    </row>
    <row r="138" spans="14:15" ht="22.5" customHeight="1" x14ac:dyDescent="0.25">
      <c r="N138" s="7" t="s">
        <v>578</v>
      </c>
      <c r="O138" s="7" t="s">
        <v>894</v>
      </c>
    </row>
    <row r="139" spans="14:15" ht="22.5" customHeight="1" x14ac:dyDescent="0.25">
      <c r="N139" s="7" t="s">
        <v>578</v>
      </c>
      <c r="O139" s="7" t="s">
        <v>892</v>
      </c>
    </row>
    <row r="140" spans="14:15" ht="22.5" customHeight="1" x14ac:dyDescent="0.25">
      <c r="N140" s="7" t="s">
        <v>578</v>
      </c>
      <c r="O140" s="7" t="s">
        <v>893</v>
      </c>
    </row>
    <row r="141" spans="14:15" ht="22.5" customHeight="1" x14ac:dyDescent="0.25">
      <c r="N141" s="7" t="s">
        <v>578</v>
      </c>
      <c r="O141" s="7" t="s">
        <v>907</v>
      </c>
    </row>
    <row r="142" spans="14:15" ht="22.5" customHeight="1" x14ac:dyDescent="0.25">
      <c r="N142" s="7" t="s">
        <v>578</v>
      </c>
      <c r="O142" s="7" t="s">
        <v>908</v>
      </c>
    </row>
    <row r="143" spans="14:15" ht="22.5" customHeight="1" x14ac:dyDescent="0.25">
      <c r="N143" s="7" t="s">
        <v>53</v>
      </c>
      <c r="O143" s="266" t="s">
        <v>139</v>
      </c>
    </row>
    <row r="144" spans="14:15" ht="22.5" customHeight="1" x14ac:dyDescent="0.25">
      <c r="N144" s="7" t="s">
        <v>53</v>
      </c>
      <c r="O144" s="266" t="s">
        <v>141</v>
      </c>
    </row>
    <row r="145" spans="14:15" ht="22.5" customHeight="1" x14ac:dyDescent="0.25">
      <c r="N145" s="7" t="s">
        <v>53</v>
      </c>
      <c r="O145" s="266" t="s">
        <v>143</v>
      </c>
    </row>
    <row r="146" spans="14:15" ht="22.5" customHeight="1" x14ac:dyDescent="0.25">
      <c r="N146" s="7" t="s">
        <v>53</v>
      </c>
      <c r="O146" s="291" t="s">
        <v>740</v>
      </c>
    </row>
    <row r="147" spans="14:15" ht="22.5" customHeight="1" x14ac:dyDescent="0.25">
      <c r="N147" s="7" t="s">
        <v>53</v>
      </c>
      <c r="O147" s="291" t="s">
        <v>880</v>
      </c>
    </row>
    <row r="148" spans="14:15" ht="22.5" customHeight="1" x14ac:dyDescent="0.25">
      <c r="N148" s="7" t="s">
        <v>53</v>
      </c>
      <c r="O148" s="266" t="s">
        <v>518</v>
      </c>
    </row>
    <row r="149" spans="14:15" ht="22.5" customHeight="1" x14ac:dyDescent="0.25">
      <c r="N149" s="7" t="s">
        <v>123</v>
      </c>
      <c r="O149" s="266" t="s">
        <v>525</v>
      </c>
    </row>
    <row r="150" spans="14:15" ht="22.5" customHeight="1" x14ac:dyDescent="0.25">
      <c r="N150" s="7" t="s">
        <v>123</v>
      </c>
      <c r="O150" s="266" t="s">
        <v>140</v>
      </c>
    </row>
    <row r="151" spans="14:15" ht="22.5" customHeight="1" x14ac:dyDescent="0.25">
      <c r="N151" s="7" t="s">
        <v>123</v>
      </c>
      <c r="O151" s="266" t="s">
        <v>142</v>
      </c>
    </row>
    <row r="152" spans="14:15" ht="22.5" customHeight="1" x14ac:dyDescent="0.25">
      <c r="N152" s="7" t="s">
        <v>123</v>
      </c>
      <c r="O152" s="266" t="s">
        <v>320</v>
      </c>
    </row>
    <row r="153" spans="14:15" ht="22.5" customHeight="1" x14ac:dyDescent="0.25">
      <c r="N153" s="7" t="s">
        <v>123</v>
      </c>
      <c r="O153" s="291" t="s">
        <v>741</v>
      </c>
    </row>
    <row r="154" spans="14:15" ht="22.5" customHeight="1" x14ac:dyDescent="0.25">
      <c r="N154" s="7" t="s">
        <v>748</v>
      </c>
      <c r="O154" s="266" t="s">
        <v>750</v>
      </c>
    </row>
    <row r="155" spans="14:15" ht="22.5" customHeight="1" x14ac:dyDescent="0.25">
      <c r="N155" s="7" t="s">
        <v>748</v>
      </c>
      <c r="O155" s="266" t="s">
        <v>751</v>
      </c>
    </row>
    <row r="156" spans="14:15" ht="22.5" customHeight="1" x14ac:dyDescent="0.25">
      <c r="N156" s="7" t="s">
        <v>749</v>
      </c>
      <c r="O156" s="7" t="s">
        <v>749</v>
      </c>
    </row>
    <row r="157" spans="14:15" ht="22.5" customHeight="1" x14ac:dyDescent="0.25">
      <c r="N157" s="7" t="s">
        <v>122</v>
      </c>
      <c r="O157" s="266" t="s">
        <v>322</v>
      </c>
    </row>
    <row r="158" spans="14:15" ht="22.5" customHeight="1" x14ac:dyDescent="0.25">
      <c r="N158" s="7" t="s">
        <v>122</v>
      </c>
      <c r="O158" s="266" t="s">
        <v>323</v>
      </c>
    </row>
    <row r="159" spans="14:15" ht="22.5" customHeight="1" x14ac:dyDescent="0.25">
      <c r="N159" s="7" t="s">
        <v>122</v>
      </c>
      <c r="O159" s="266" t="s">
        <v>324</v>
      </c>
    </row>
    <row r="160" spans="14:15" ht="22.5" customHeight="1" x14ac:dyDescent="0.25">
      <c r="N160" s="7" t="s">
        <v>122</v>
      </c>
      <c r="O160" s="266" t="s">
        <v>325</v>
      </c>
    </row>
    <row r="161" spans="14:15" ht="22.5" customHeight="1" x14ac:dyDescent="0.25">
      <c r="N161" s="7" t="s">
        <v>137</v>
      </c>
      <c r="O161" s="266" t="s">
        <v>715</v>
      </c>
    </row>
    <row r="162" spans="14:15" ht="22.5" customHeight="1" x14ac:dyDescent="0.25">
      <c r="N162" s="7" t="s">
        <v>137</v>
      </c>
      <c r="O162" s="266" t="s">
        <v>375</v>
      </c>
    </row>
    <row r="163" spans="14:15" ht="22.5" customHeight="1" x14ac:dyDescent="0.25">
      <c r="N163" s="7" t="s">
        <v>387</v>
      </c>
      <c r="O163" s="266" t="s">
        <v>388</v>
      </c>
    </row>
    <row r="164" spans="14:15" ht="22.5" customHeight="1" x14ac:dyDescent="0.25">
      <c r="N164" s="7" t="s">
        <v>387</v>
      </c>
      <c r="O164" s="266" t="s">
        <v>389</v>
      </c>
    </row>
    <row r="165" spans="14:15" ht="22.5" customHeight="1" x14ac:dyDescent="0.25">
      <c r="N165" s="7" t="s">
        <v>387</v>
      </c>
      <c r="O165" s="266" t="s">
        <v>390</v>
      </c>
    </row>
    <row r="166" spans="14:15" ht="22.5" customHeight="1" x14ac:dyDescent="0.25">
      <c r="N166" s="7" t="s">
        <v>387</v>
      </c>
      <c r="O166" s="266" t="s">
        <v>391</v>
      </c>
    </row>
    <row r="167" spans="14:15" ht="22.5" customHeight="1" x14ac:dyDescent="0.25">
      <c r="N167" s="7" t="s">
        <v>387</v>
      </c>
      <c r="O167" s="266" t="s">
        <v>392</v>
      </c>
    </row>
    <row r="168" spans="14:15" ht="22.5" customHeight="1" x14ac:dyDescent="0.25">
      <c r="N168" s="7" t="s">
        <v>387</v>
      </c>
      <c r="O168" s="266" t="s">
        <v>393</v>
      </c>
    </row>
    <row r="169" spans="14:15" ht="22.5" customHeight="1" x14ac:dyDescent="0.25">
      <c r="N169" s="7" t="s">
        <v>64</v>
      </c>
      <c r="O169" s="7" t="s">
        <v>64</v>
      </c>
    </row>
    <row r="170" spans="14:15" ht="22.5" customHeight="1" x14ac:dyDescent="0.25">
      <c r="N170" s="7" t="s">
        <v>64</v>
      </c>
      <c r="O170" s="7" t="s">
        <v>714</v>
      </c>
    </row>
    <row r="171" spans="14:15" ht="22.5" customHeight="1" x14ac:dyDescent="0.25">
      <c r="N171" s="7" t="s">
        <v>64</v>
      </c>
      <c r="O171" s="292" t="s">
        <v>878</v>
      </c>
    </row>
    <row r="172" spans="14:15" ht="22.5" customHeight="1" x14ac:dyDescent="0.25">
      <c r="N172" s="7" t="s">
        <v>540</v>
      </c>
      <c r="O172" s="7" t="s">
        <v>540</v>
      </c>
    </row>
    <row r="173" spans="14:15" ht="22.5" customHeight="1" x14ac:dyDescent="0.25">
      <c r="N173" s="7" t="s">
        <v>534</v>
      </c>
      <c r="O173" s="7" t="s">
        <v>534</v>
      </c>
    </row>
    <row r="174" spans="14:15" ht="22.5" customHeight="1" x14ac:dyDescent="0.25">
      <c r="N174" s="7" t="s">
        <v>43</v>
      </c>
      <c r="O174" s="7" t="s">
        <v>43</v>
      </c>
    </row>
    <row r="175" spans="14:15" ht="22.5" customHeight="1" x14ac:dyDescent="0.25">
      <c r="N175" s="7" t="s">
        <v>132</v>
      </c>
      <c r="O175" s="7" t="s">
        <v>132</v>
      </c>
    </row>
    <row r="176" spans="14:15" ht="22.5" customHeight="1" x14ac:dyDescent="0.25">
      <c r="N176" s="7" t="s">
        <v>372</v>
      </c>
      <c r="O176" s="7" t="s">
        <v>372</v>
      </c>
    </row>
    <row r="177" spans="14:15" ht="22.5" customHeight="1" x14ac:dyDescent="0.25">
      <c r="N177" s="7" t="s">
        <v>376</v>
      </c>
      <c r="O177" s="7" t="s">
        <v>376</v>
      </c>
    </row>
    <row r="178" spans="14:15" ht="22.5" customHeight="1" x14ac:dyDescent="0.25">
      <c r="N178" s="7" t="s">
        <v>138</v>
      </c>
      <c r="O178" s="7" t="s">
        <v>138</v>
      </c>
    </row>
    <row r="179" spans="14:15" ht="22.5" customHeight="1" x14ac:dyDescent="0.25">
      <c r="N179" s="7" t="s">
        <v>711</v>
      </c>
      <c r="O179" s="7" t="s">
        <v>704</v>
      </c>
    </row>
    <row r="180" spans="14:15" ht="22.5" customHeight="1" x14ac:dyDescent="0.25">
      <c r="N180" s="7" t="s">
        <v>705</v>
      </c>
      <c r="O180" s="7" t="s">
        <v>705</v>
      </c>
    </row>
    <row r="181" spans="14:15" ht="22.5" customHeight="1" x14ac:dyDescent="0.25">
      <c r="N181" s="7" t="s">
        <v>706</v>
      </c>
      <c r="O181" s="7" t="s">
        <v>706</v>
      </c>
    </row>
    <row r="182" spans="14:15" ht="22.5" customHeight="1" x14ac:dyDescent="0.25">
      <c r="N182" s="7" t="s">
        <v>707</v>
      </c>
      <c r="O182" s="7" t="s">
        <v>707</v>
      </c>
    </row>
    <row r="183" spans="14:15" ht="22.5" customHeight="1" x14ac:dyDescent="0.25"/>
    <row r="184" spans="14:15" ht="22.5" customHeight="1" x14ac:dyDescent="0.25"/>
    <row r="185" spans="14:15" ht="22.5" customHeight="1" x14ac:dyDescent="0.25"/>
    <row r="186" spans="14:15" ht="22.5" customHeight="1" x14ac:dyDescent="0.25"/>
    <row r="187" spans="14:15" ht="22.5" customHeight="1" x14ac:dyDescent="0.25"/>
    <row r="188" spans="14:15" ht="22.5" customHeight="1" x14ac:dyDescent="0.25"/>
    <row r="189" spans="14:15" ht="22.5" customHeight="1" x14ac:dyDescent="0.25"/>
    <row r="190" spans="14:15" ht="22.5" customHeight="1" x14ac:dyDescent="0.25"/>
    <row r="191" spans="14:15" ht="22.5" customHeight="1" x14ac:dyDescent="0.25"/>
    <row r="192" spans="14:15" ht="22.5" customHeight="1" x14ac:dyDescent="0.25"/>
    <row r="193" ht="22.5" customHeight="1" x14ac:dyDescent="0.25"/>
    <row r="194" ht="22.5" customHeight="1" x14ac:dyDescent="0.25"/>
    <row r="195" ht="42" customHeight="1" x14ac:dyDescent="0.25"/>
    <row r="196" ht="22.5" customHeight="1" x14ac:dyDescent="0.25"/>
    <row r="197" ht="22.5" customHeight="1" x14ac:dyDescent="0.25"/>
    <row r="198" ht="22.5" customHeight="1" x14ac:dyDescent="0.25"/>
    <row r="199" ht="22.5" customHeight="1" x14ac:dyDescent="0.25"/>
    <row r="200" ht="22.5" customHeight="1" x14ac:dyDescent="0.25"/>
    <row r="201" ht="22.5" customHeight="1" x14ac:dyDescent="0.25"/>
    <row r="202" ht="22.5" customHeight="1" x14ac:dyDescent="0.25"/>
    <row r="203" ht="22.5" customHeight="1" x14ac:dyDescent="0.25"/>
    <row r="204" ht="22.5" customHeight="1" x14ac:dyDescent="0.25"/>
    <row r="205" ht="22.5" customHeight="1" x14ac:dyDescent="0.25"/>
    <row r="206" ht="22.5" customHeight="1" x14ac:dyDescent="0.25"/>
    <row r="207" ht="22.5" customHeight="1" x14ac:dyDescent="0.25"/>
    <row r="208" ht="22.5" customHeight="1" x14ac:dyDescent="0.25"/>
    <row r="209" ht="22.5" customHeight="1" x14ac:dyDescent="0.25"/>
    <row r="210" ht="22.5" customHeight="1" x14ac:dyDescent="0.25"/>
    <row r="211" ht="22.5" customHeight="1" x14ac:dyDescent="0.25"/>
    <row r="212" ht="22.5" customHeight="1" x14ac:dyDescent="0.25"/>
    <row r="213" ht="22.5" customHeight="1" x14ac:dyDescent="0.25"/>
    <row r="214" ht="22.5" customHeight="1" x14ac:dyDescent="0.25"/>
    <row r="215" ht="22.5" customHeight="1" x14ac:dyDescent="0.25"/>
    <row r="216" ht="22.5" customHeight="1" x14ac:dyDescent="0.25"/>
    <row r="217" ht="22.5" customHeight="1" x14ac:dyDescent="0.25"/>
    <row r="218" ht="22.5" customHeight="1" x14ac:dyDescent="0.25"/>
    <row r="219" ht="22.5" customHeight="1" x14ac:dyDescent="0.25"/>
    <row r="220" ht="22.5" customHeight="1" x14ac:dyDescent="0.25"/>
    <row r="221" ht="22.5" customHeight="1" x14ac:dyDescent="0.25"/>
    <row r="222" ht="22.5" customHeight="1" x14ac:dyDescent="0.25"/>
    <row r="223" ht="22.5" customHeight="1" x14ac:dyDescent="0.25"/>
    <row r="224" ht="22.5" customHeight="1" x14ac:dyDescent="0.25"/>
    <row r="225" ht="22.5" customHeight="1" x14ac:dyDescent="0.25"/>
    <row r="226" ht="22.5" customHeight="1" x14ac:dyDescent="0.25"/>
    <row r="227" ht="22.5" customHeight="1" x14ac:dyDescent="0.25"/>
    <row r="228" ht="22.5" customHeight="1" x14ac:dyDescent="0.25"/>
    <row r="229" ht="22.5" customHeight="1" x14ac:dyDescent="0.25"/>
    <row r="230" ht="22.5" customHeight="1" x14ac:dyDescent="0.25"/>
    <row r="231" ht="22.5" customHeight="1" x14ac:dyDescent="0.25"/>
    <row r="232" ht="22.5" customHeight="1" x14ac:dyDescent="0.25"/>
    <row r="233" ht="22.5" customHeight="1" x14ac:dyDescent="0.25"/>
    <row r="234" ht="22.5" customHeight="1" x14ac:dyDescent="0.25"/>
    <row r="235" ht="22.5" customHeight="1" x14ac:dyDescent="0.25"/>
    <row r="236" ht="22.5" customHeight="1" x14ac:dyDescent="0.25"/>
    <row r="237" ht="22.5" customHeight="1" x14ac:dyDescent="0.25"/>
    <row r="238" ht="22.5" customHeight="1" x14ac:dyDescent="0.25"/>
    <row r="239" ht="22.5" customHeight="1" x14ac:dyDescent="0.25"/>
    <row r="240" ht="22.5" customHeight="1" x14ac:dyDescent="0.25"/>
    <row r="241" ht="22.5" customHeight="1" x14ac:dyDescent="0.25"/>
    <row r="242" ht="22.5" customHeight="1" x14ac:dyDescent="0.25"/>
    <row r="243" ht="22.5" customHeight="1" x14ac:dyDescent="0.25"/>
    <row r="244" ht="22.5" customHeight="1" x14ac:dyDescent="0.25"/>
    <row r="245" ht="22.5" customHeight="1" x14ac:dyDescent="0.25"/>
    <row r="246" ht="22.5" customHeight="1" x14ac:dyDescent="0.25"/>
    <row r="247" ht="22.5" customHeight="1" x14ac:dyDescent="0.25"/>
    <row r="248" ht="22.5" customHeight="1" x14ac:dyDescent="0.25"/>
    <row r="249" ht="22.5" customHeight="1" x14ac:dyDescent="0.25"/>
    <row r="250" ht="22.5" customHeight="1" x14ac:dyDescent="0.25"/>
    <row r="251" ht="22.5" customHeight="1" x14ac:dyDescent="0.25"/>
    <row r="252" ht="22.5" customHeight="1" x14ac:dyDescent="0.25"/>
    <row r="253" ht="22.5" customHeight="1" x14ac:dyDescent="0.25"/>
    <row r="254" ht="22.5" customHeight="1" x14ac:dyDescent="0.25"/>
    <row r="255" ht="22.5" customHeight="1" x14ac:dyDescent="0.25"/>
    <row r="256" ht="22.5" customHeight="1" x14ac:dyDescent="0.25"/>
    <row r="257" ht="22.5" customHeight="1" x14ac:dyDescent="0.25"/>
    <row r="258" ht="22.5" customHeight="1" x14ac:dyDescent="0.25"/>
    <row r="259" ht="22.5" customHeight="1" x14ac:dyDescent="0.25"/>
    <row r="260" ht="22.5" customHeight="1" x14ac:dyDescent="0.25"/>
    <row r="261" ht="22.5" customHeight="1" x14ac:dyDescent="0.25"/>
    <row r="262" ht="22.5" customHeight="1" x14ac:dyDescent="0.25"/>
    <row r="263" ht="22.5" customHeight="1" x14ac:dyDescent="0.25"/>
    <row r="264" ht="22.5" customHeight="1" x14ac:dyDescent="0.25"/>
    <row r="265" ht="22.5" customHeight="1" x14ac:dyDescent="0.25"/>
    <row r="266" ht="22.5" customHeight="1" x14ac:dyDescent="0.25"/>
    <row r="267" ht="22.5" customHeight="1" x14ac:dyDescent="0.25"/>
    <row r="268" ht="22.5" customHeight="1" x14ac:dyDescent="0.25"/>
    <row r="269" ht="22.5" customHeight="1" x14ac:dyDescent="0.25"/>
    <row r="270" ht="22.5" customHeight="1" x14ac:dyDescent="0.25"/>
    <row r="271" ht="22.5" customHeight="1" x14ac:dyDescent="0.25"/>
    <row r="272" ht="22.5" customHeight="1" x14ac:dyDescent="0.25"/>
    <row r="273" ht="22.5" customHeight="1" x14ac:dyDescent="0.25"/>
    <row r="274" ht="22.5" customHeight="1" x14ac:dyDescent="0.25"/>
    <row r="275" ht="22.5" customHeight="1" x14ac:dyDescent="0.25"/>
    <row r="276" ht="22.5" customHeight="1" x14ac:dyDescent="0.25"/>
    <row r="277" ht="22.5" customHeight="1" x14ac:dyDescent="0.25"/>
    <row r="278" ht="22.5" customHeight="1" x14ac:dyDescent="0.25"/>
    <row r="279" ht="22.5" customHeight="1" x14ac:dyDescent="0.25"/>
  </sheetData>
  <mergeCells count="2">
    <mergeCell ref="N90:O90"/>
    <mergeCell ref="F51:K5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39CB738D405D94F8D534F305062C1AC" ma:contentTypeVersion="14" ma:contentTypeDescription="Create a new document." ma:contentTypeScope="" ma:versionID="fb59bbaa61d2689dff359f28520228fb">
  <xsd:schema xmlns:xsd="http://www.w3.org/2001/XMLSchema" xmlns:xs="http://www.w3.org/2001/XMLSchema" xmlns:p="http://schemas.microsoft.com/office/2006/metadata/properties" xmlns:ns2="24da7528-78b4-4aad-85ac-49aaf1ac59c9" xmlns:ns3="7b924f21-4409-45e7-b262-a9e005b8f4e9" targetNamespace="http://schemas.microsoft.com/office/2006/metadata/properties" ma:root="true" ma:fieldsID="8d9001d95190f1e4f77463734932be5c" ns2:_="" ns3:_="">
    <xsd:import namespace="24da7528-78b4-4aad-85ac-49aaf1ac59c9"/>
    <xsd:import namespace="7b924f21-4409-45e7-b262-a9e005b8f4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_dlc_DocId" minOccurs="0"/>
                <xsd:element ref="ns3:_dlc_DocIdUrl" minOccurs="0"/>
                <xsd:element ref="ns3:_dlc_DocIdPersistId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da7528-78b4-4aad-85ac-49aaf1ac59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0931d34-6431-428a-a4c5-c6fef85a0c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24f21-4409-45e7-b262-a9e005b8f4e9" elementFormDefault="qualified">
    <xsd:import namespace="http://schemas.microsoft.com/office/2006/documentManagement/types"/>
    <xsd:import namespace="http://schemas.microsoft.com/office/infopath/2007/PartnerControls"/>
    <xsd:element name="_dlc_DocId" ma:index="12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7" nillable="true" ma:displayName="Taxonomy Catch All Column" ma:hidden="true" ma:list="{c1f5f581-05b8-4fff-8b48-9e7c292605e9}" ma:internalName="TaxCatchAll" ma:showField="CatchAllData" ma:web="7b924f21-4409-45e7-b262-a9e005b8f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4da7528-78b4-4aad-85ac-49aaf1ac59c9">
      <Terms xmlns="http://schemas.microsoft.com/office/infopath/2007/PartnerControls"/>
    </lcf76f155ced4ddcb4097134ff3c332f>
    <TaxCatchAll xmlns="7b924f21-4409-45e7-b262-a9e005b8f4e9" xsi:nil="true"/>
    <_dlc_DocId xmlns="7b924f21-4409-45e7-b262-a9e005b8f4e9">VRRUUZSHRZDU-1566248465-174310</_dlc_DocId>
    <_dlc_DocIdUrl xmlns="7b924f21-4409-45e7-b262-a9e005b8f4e9">
      <Url>https://iecsaudi.sharepoint.com/sites/IECSharepoint2025/_layouts/15/DocIdRedir.aspx?ID=VRRUUZSHRZDU-1566248465-174310</Url>
      <Description>VRRUUZSHRZDU-1566248465-174310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DC24528-A58F-4D4C-84C6-A5F03D8312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da7528-78b4-4aad-85ac-49aaf1ac59c9"/>
    <ds:schemaRef ds:uri="7b924f21-4409-45e7-b262-a9e005b8f4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0F2E772-08FA-4FF1-B6AF-7E4D0C4265B7}">
  <ds:schemaRefs>
    <ds:schemaRef ds:uri="http://schemas.microsoft.com/office/2006/metadata/properties"/>
    <ds:schemaRef ds:uri="http://schemas.microsoft.com/office/infopath/2007/PartnerControls"/>
    <ds:schemaRef ds:uri="24da7528-78b4-4aad-85ac-49aaf1ac59c9"/>
    <ds:schemaRef ds:uri="7b924f21-4409-45e7-b262-a9e005b8f4e9"/>
  </ds:schemaRefs>
</ds:datastoreItem>
</file>

<file path=customXml/itemProps3.xml><?xml version="1.0" encoding="utf-8"?>
<ds:datastoreItem xmlns:ds="http://schemas.openxmlformats.org/officeDocument/2006/customXml" ds:itemID="{B3045E86-D360-4A09-B501-3EA9C1CBE0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87D16C5-14EF-4FF8-9EB5-23F52C1A6148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19</vt:i4>
      </vt:variant>
    </vt:vector>
  </HeadingPairs>
  <TitlesOfParts>
    <vt:vector size="26" baseType="lpstr">
      <vt:lpstr>Calculation &amp; Sizing</vt:lpstr>
      <vt:lpstr>Pricing Sheet</vt:lpstr>
      <vt:lpstr>ATG</vt:lpstr>
      <vt:lpstr>Electrical</vt:lpstr>
      <vt:lpstr>Report</vt:lpstr>
      <vt:lpstr>Price List</vt:lpstr>
      <vt:lpstr>Data</vt:lpstr>
      <vt:lpstr>Brand</vt:lpstr>
      <vt:lpstr>Cth</vt:lpstr>
      <vt:lpstr>D</vt:lpstr>
      <vt:lpstr>FP</vt:lpstr>
      <vt:lpstr>Item</vt:lpstr>
      <vt:lpstr>ItemColumn</vt:lpstr>
      <vt:lpstr>ItemList</vt:lpstr>
      <vt:lpstr>Lv</vt:lpstr>
      <vt:lpstr>M</vt:lpstr>
      <vt:lpstr>P</vt:lpstr>
      <vt:lpstr>Pi</vt:lpstr>
      <vt:lpstr>PP</vt:lpstr>
      <vt:lpstr>'Pricing Sheet'!Print_Area</vt:lpstr>
      <vt:lpstr>'Pricing Sheet'!Print_Titles</vt:lpstr>
      <vt:lpstr>S</vt:lpstr>
      <vt:lpstr>SubItemColumn</vt:lpstr>
      <vt:lpstr>T</vt:lpstr>
      <vt:lpstr>V</vt:lpstr>
      <vt:lpstr>Vn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Mazen Al Barakeh</cp:lastModifiedBy>
  <cp:lastPrinted>2024-01-08T06:18:01Z</cp:lastPrinted>
  <dcterms:created xsi:type="dcterms:W3CDTF">2015-06-05T18:17:20Z</dcterms:created>
  <dcterms:modified xsi:type="dcterms:W3CDTF">2025-12-10T09:25:00Z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0x010100E39CB738D405D94F8D534F305062C1AC</vt:lpwstr>
  </property>
  <property fmtid="{D5CDD505-2E9C-101B-9397-08002B2CF9AE}" pid="3" name="_dlc_DocIdItemGuid">
    <vt:lpwstr>d517ff3e-933f-40f0-9120-c2f299a83b33</vt:lpwstr>
  </property>
  <property fmtid="{D5CDD505-2E9C-101B-9397-08002B2CF9AE}" pid="4" name="MediaServiceImageTags">
    <vt:lpwstr/>
  </property>
</Properties>
</file>